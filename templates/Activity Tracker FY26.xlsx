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drawings/drawing4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drawings/drawing5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drawings/drawing7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6.xml" ContentType="application/vnd.openxmlformats-officedocument.themeOverride+xml"/>
  <Override PartName="/xl/drawings/drawing10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7.xml" ContentType="application/vnd.openxmlformats-officedocument.themeOverride+xml"/>
  <Override PartName="/xl/drawings/drawing11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8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9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0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1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2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3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4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5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26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27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28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29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0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uelAkpan\PycharmProjects\DDS_NK_THRIVE_Django_System\dds_nk_system\templates\"/>
    </mc:Choice>
  </mc:AlternateContent>
  <xr:revisionPtr revIDLastSave="0" documentId="8_{79FFF28B-79AE-4D58-91B4-A61B0711960F}" xr6:coauthVersionLast="47" xr6:coauthVersionMax="47" xr10:uidLastSave="{00000000-0000-0000-0000-000000000000}"/>
  <bookViews>
    <workbookView xWindow="-110" yWindow="-110" windowWidth="19420" windowHeight="12220" activeTab="3" xr2:uid="{B8A262F0-EDCF-481E-ACC3-40592C3680CD}"/>
  </bookViews>
  <sheets>
    <sheet name="IPTT" sheetId="1" r:id="rId1"/>
    <sheet name="Q1 Output Dash_Board" sheetId="2" r:id="rId2"/>
    <sheet name="Finance Q1" sheetId="3" r:id="rId3"/>
    <sheet name="Sheet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50" i="1" l="1"/>
  <c r="T50" i="1"/>
  <c r="N50" i="1"/>
  <c r="L50" i="1"/>
  <c r="J50" i="1"/>
  <c r="H50" i="1"/>
  <c r="V49" i="1"/>
  <c r="T49" i="1"/>
  <c r="J49" i="1"/>
  <c r="V48" i="1"/>
  <c r="T48" i="1"/>
  <c r="N48" i="1"/>
  <c r="L48" i="1"/>
  <c r="J48" i="1"/>
  <c r="H48" i="1"/>
  <c r="V47" i="1"/>
  <c r="T47" i="1"/>
  <c r="N47" i="1"/>
  <c r="L47" i="1"/>
  <c r="J47" i="1"/>
  <c r="H47" i="1"/>
  <c r="V46" i="1"/>
  <c r="T46" i="1"/>
  <c r="N46" i="1"/>
  <c r="L46" i="1"/>
  <c r="J46" i="1"/>
  <c r="H46" i="1"/>
  <c r="W46" i="1" s="1"/>
  <c r="V45" i="1"/>
  <c r="T45" i="1"/>
  <c r="N45" i="1"/>
  <c r="L45" i="1"/>
  <c r="J45" i="1"/>
  <c r="V44" i="1"/>
  <c r="T44" i="1"/>
  <c r="N44" i="1"/>
  <c r="J44" i="1"/>
  <c r="W43" i="1" s="1"/>
  <c r="X43" i="1"/>
  <c r="V43" i="1"/>
  <c r="T43" i="1"/>
  <c r="N43" i="1"/>
  <c r="L43" i="1"/>
  <c r="J43" i="1"/>
  <c r="V42" i="1"/>
  <c r="T42" i="1"/>
  <c r="N42" i="1"/>
  <c r="L42" i="1"/>
  <c r="J42" i="1"/>
  <c r="V41" i="1"/>
  <c r="T41" i="1"/>
  <c r="N41" i="1"/>
  <c r="L41" i="1"/>
  <c r="J41" i="1"/>
  <c r="X40" i="1"/>
  <c r="V40" i="1"/>
  <c r="T40" i="1"/>
  <c r="N40" i="1"/>
  <c r="L40" i="1"/>
  <c r="J40" i="1"/>
  <c r="H40" i="1"/>
  <c r="W40" i="1" s="1"/>
  <c r="V39" i="1"/>
  <c r="T39" i="1"/>
  <c r="N39" i="1"/>
  <c r="L39" i="1"/>
  <c r="J39" i="1"/>
  <c r="V38" i="1"/>
  <c r="T38" i="1"/>
  <c r="N38" i="1"/>
  <c r="L38" i="1"/>
  <c r="J38" i="1"/>
  <c r="V37" i="1"/>
  <c r="T37" i="1"/>
  <c r="N37" i="1"/>
  <c r="L37" i="1"/>
  <c r="J37" i="1"/>
  <c r="H37" i="1"/>
  <c r="W36" i="1" s="1"/>
  <c r="X36" i="1"/>
  <c r="V36" i="1"/>
  <c r="T36" i="1"/>
  <c r="N36" i="1"/>
  <c r="L36" i="1"/>
  <c r="J36" i="1"/>
  <c r="V34" i="1"/>
  <c r="T34" i="1"/>
  <c r="L34" i="1"/>
  <c r="X33" i="1"/>
  <c r="W33" i="1"/>
  <c r="V33" i="1"/>
  <c r="T33" i="1"/>
  <c r="L33" i="1"/>
  <c r="J33" i="1"/>
  <c r="V32" i="1"/>
  <c r="T32" i="1"/>
  <c r="N32" i="1"/>
  <c r="H32" i="1"/>
  <c r="V31" i="1"/>
  <c r="T31" i="1"/>
  <c r="N31" i="1"/>
  <c r="L31" i="1"/>
  <c r="J31" i="1"/>
  <c r="W30" i="1" s="1"/>
  <c r="X30" i="1"/>
  <c r="V30" i="1"/>
  <c r="T30" i="1"/>
  <c r="N30" i="1"/>
  <c r="L30" i="1"/>
  <c r="J30" i="1"/>
  <c r="V29" i="1"/>
  <c r="T29" i="1"/>
  <c r="N29" i="1"/>
  <c r="L29" i="1"/>
  <c r="V28" i="1"/>
  <c r="T28" i="1"/>
  <c r="N28" i="1"/>
  <c r="L28" i="1"/>
  <c r="J28" i="1"/>
  <c r="X27" i="1"/>
  <c r="W27" i="1"/>
  <c r="V27" i="1"/>
  <c r="T27" i="1"/>
  <c r="N27" i="1"/>
  <c r="L27" i="1"/>
  <c r="J27" i="1"/>
  <c r="V26" i="1"/>
  <c r="T26" i="1"/>
  <c r="N26" i="1"/>
  <c r="J26" i="1"/>
  <c r="V25" i="1"/>
  <c r="T25" i="1"/>
  <c r="N25" i="1"/>
  <c r="L25" i="1"/>
  <c r="J25" i="1"/>
  <c r="H25" i="1"/>
  <c r="V24" i="1"/>
  <c r="T24" i="1"/>
  <c r="N24" i="1"/>
  <c r="W22" i="1" s="1"/>
  <c r="L24" i="1"/>
  <c r="J24" i="1"/>
  <c r="H24" i="1"/>
  <c r="V23" i="1"/>
  <c r="T23" i="1"/>
  <c r="N23" i="1"/>
  <c r="L23" i="1"/>
  <c r="J23" i="1"/>
  <c r="H23" i="1"/>
  <c r="X22" i="1"/>
  <c r="V22" i="1"/>
  <c r="T22" i="1"/>
  <c r="N22" i="1"/>
  <c r="L22" i="1"/>
  <c r="J22" i="1"/>
  <c r="H22" i="1"/>
  <c r="V20" i="1"/>
  <c r="T20" i="1"/>
  <c r="N20" i="1"/>
  <c r="L20" i="1"/>
  <c r="J20" i="1"/>
  <c r="H20" i="1"/>
  <c r="W19" i="1" s="1"/>
  <c r="X19" i="1"/>
  <c r="V19" i="1"/>
  <c r="T19" i="1"/>
  <c r="N19" i="1"/>
  <c r="L19" i="1"/>
  <c r="J19" i="1"/>
  <c r="V18" i="1"/>
  <c r="T18" i="1"/>
  <c r="N18" i="1"/>
  <c r="L18" i="1"/>
  <c r="J18" i="1"/>
  <c r="H18" i="1"/>
  <c r="V17" i="1"/>
  <c r="T17" i="1"/>
  <c r="N17" i="1"/>
  <c r="L17" i="1"/>
  <c r="J17" i="1"/>
  <c r="H17" i="1"/>
  <c r="V16" i="1"/>
  <c r="T16" i="1"/>
  <c r="N16" i="1"/>
  <c r="L16" i="1"/>
  <c r="J16" i="1"/>
  <c r="H16" i="1"/>
  <c r="W15" i="1" s="1"/>
  <c r="X15" i="1"/>
  <c r="V15" i="1"/>
  <c r="T15" i="1"/>
  <c r="N15" i="1"/>
  <c r="L15" i="1"/>
  <c r="J15" i="1"/>
  <c r="H15" i="1"/>
  <c r="V14" i="1"/>
  <c r="T14" i="1"/>
  <c r="N14" i="1"/>
  <c r="L14" i="1"/>
  <c r="J14" i="1"/>
  <c r="X13" i="1"/>
  <c r="V13" i="1"/>
  <c r="T13" i="1"/>
  <c r="N13" i="1"/>
  <c r="L13" i="1"/>
  <c r="J13" i="1"/>
  <c r="W13" i="1" s="1"/>
  <c r="V12" i="1"/>
  <c r="T12" i="1"/>
  <c r="N12" i="1"/>
  <c r="L12" i="1"/>
  <c r="J12" i="1"/>
  <c r="H12" i="1"/>
  <c r="W10" i="1" s="1"/>
  <c r="V11" i="1"/>
  <c r="T11" i="1"/>
  <c r="N11" i="1"/>
  <c r="L11" i="1"/>
  <c r="J11" i="1"/>
  <c r="H11" i="1"/>
  <c r="X10" i="1"/>
  <c r="V10" i="1"/>
  <c r="T10" i="1"/>
  <c r="H10" i="1"/>
  <c r="X9" i="1"/>
  <c r="V9" i="1"/>
  <c r="T9" i="1"/>
  <c r="H9" i="1"/>
  <c r="W9" i="1" s="1"/>
  <c r="V8" i="1"/>
  <c r="T8" i="1"/>
  <c r="N8" i="1"/>
  <c r="L8" i="1"/>
  <c r="V7" i="1"/>
  <c r="T7" i="1"/>
  <c r="L7" i="1"/>
  <c r="J7" i="1"/>
  <c r="V6" i="1"/>
  <c r="T6" i="1"/>
  <c r="L6" i="1"/>
  <c r="J6" i="1"/>
  <c r="X5" i="1"/>
  <c r="V5" i="1"/>
  <c r="T5" i="1"/>
  <c r="N5" i="1"/>
  <c r="L5" i="1"/>
  <c r="J5" i="1"/>
  <c r="H5" i="1"/>
  <c r="W5" i="1" s="1"/>
</calcChain>
</file>

<file path=xl/sharedStrings.xml><?xml version="1.0" encoding="utf-8"?>
<sst xmlns="http://schemas.openxmlformats.org/spreadsheetml/2006/main" count="128" uniqueCount="89">
  <si>
    <t>Quarterly Targets</t>
  </si>
  <si>
    <t>Q1</t>
  </si>
  <si>
    <t>Q2</t>
  </si>
  <si>
    <t>Q3</t>
  </si>
  <si>
    <t>Q4</t>
  </si>
  <si>
    <t>Quarterly Results</t>
  </si>
  <si>
    <t>FY26</t>
  </si>
  <si>
    <t xml:space="preserve">Results Heirachy </t>
  </si>
  <si>
    <t>Performance Indicators</t>
  </si>
  <si>
    <t>Q1 Target</t>
  </si>
  <si>
    <t>Q2 Target</t>
  </si>
  <si>
    <t>Q3 Target</t>
  </si>
  <si>
    <t>Q4 Target</t>
  </si>
  <si>
    <t>Planned Budget</t>
  </si>
  <si>
    <t>Budget Expense</t>
  </si>
  <si>
    <t>Q1 Results</t>
  </si>
  <si>
    <t>Q2 Results</t>
  </si>
  <si>
    <t>Q3 Results</t>
  </si>
  <si>
    <t>Q4 Results</t>
  </si>
  <si>
    <t>FY26 Budget</t>
  </si>
  <si>
    <t>FY26 Target</t>
  </si>
  <si>
    <t>FY26 Results</t>
  </si>
  <si>
    <t>Planned Budget/Output</t>
  </si>
  <si>
    <t>Budget Expense/Output</t>
  </si>
  <si>
    <t>Goal: To contribute to improvement in social-economic wellbeing among vulnerable individuals and households in Uganda, Northern Karamoja</t>
  </si>
  <si>
    <t>Outcome 1: Increased income among women and girls.</t>
  </si>
  <si>
    <t>Ouput 1.1: Improved soil and water conservation practices adopted</t>
  </si>
  <si>
    <t>1.1.1: Number of farmers trained on Zai pits and moisture conservation</t>
  </si>
  <si>
    <t>1.1.2: Number of Zai pit demonstration plots established</t>
  </si>
  <si>
    <t>1.1.3: Number of farmers who have established climate-smart vegetable gardens</t>
  </si>
  <si>
    <t>1.1.4: Number of farmers trained on the construction and use of water harvesting and irrigation systems</t>
  </si>
  <si>
    <t>Output 1.1b: Increased access to agricultural inputs and production support</t>
  </si>
  <si>
    <t>1.1b.1: Number of farmers who  received  quality seeds</t>
  </si>
  <si>
    <t>Output 1.1c: Improved farmer capacity in agribusiness and enterprise development</t>
  </si>
  <si>
    <t>1.1c.1: Number of BSPs and staff trained on farmer business curriculum</t>
  </si>
  <si>
    <t>1.1c.2: Number of farmers trained on farming as a business by BSPs</t>
  </si>
  <si>
    <t>1.1c.3: Number of youth trained on enterprise selection and management</t>
  </si>
  <si>
    <t>Output 1.2: Improved post-harvest handling, drying, and storage practices</t>
  </si>
  <si>
    <t>1.2.1: Number of farmers trained on improved drying, storage, and handling techniques</t>
  </si>
  <si>
    <t>1.2.2: Number of farmer groups trained on cereal, pulse, vegetable processing and food preservation for value addition</t>
  </si>
  <si>
    <t>Output 1.3: Improved household income through diversified and well-managed agribusiness enterprises</t>
  </si>
  <si>
    <t>1.3.1: Number of households trained on improved chicken husbandry, feeding, housing, and disease control</t>
  </si>
  <si>
    <t>1.3.2: Number of beneficiaries trained on poultry business management and record keeping</t>
  </si>
  <si>
    <t>1.3.3: Number of VSLA groups supported by DDS-NK</t>
  </si>
  <si>
    <t>1.3.4: Number of groups mentored on basic skills for making local skirts and beads for income generation</t>
  </si>
  <si>
    <t>Output 1.4: Improved market access and business linkages</t>
  </si>
  <si>
    <t>1.4.1: Number of farmers participating in market exposure visits and buyer-seller meetings</t>
  </si>
  <si>
    <t>1.4.2: Number of producers linked to markets, input suppliers, veterinary services, agro-dealers, and buyers</t>
  </si>
  <si>
    <t>Outcome 2: Strengthened participation of women and girls in decision making</t>
  </si>
  <si>
    <t>Output 2.1: Improved community awareness and prevention of Gender Equality, Disability and Social Inclusion (GEDSI) barriers and Gender-Based Violence (GBV)</t>
  </si>
  <si>
    <t>2.1.1: Number of community members reached through dialogues and sensitization sessions on GEDSI and GBV prevention</t>
  </si>
  <si>
    <t>2.1.2: Number of faith leaders trained and engaged to integrate GEDSI and GBV prevention messages in preaching and community interactions</t>
  </si>
  <si>
    <t>2.1.3: Number of adolescents reached through awareness sessions on GEDSI principles and GBV prevention, including rights, reporting, and referral pathways</t>
  </si>
  <si>
    <t>2.1.4: Number of community members reached through GEDSI and GBV awareness dialogues conducted during market days</t>
  </si>
  <si>
    <t>2.1.5: Number of community members reached through campaigns using meetings, IEC materials, and media on GEDSI and GBV prevention</t>
  </si>
  <si>
    <t>Output 2.1a: Strengthened coordinated youth engagement and violence prevention mechanisms through community-based approaches (CBIM)</t>
  </si>
  <si>
    <t>2.1a.1: Number of out-of-school boys and girls reached through Community-Based Integrated Model (CBIM) activities using sports, agriculture, and other engagement methods</t>
  </si>
  <si>
    <t>2.1a.2: Number of stakeholders engaged in joint planning and design of youth violence prevention interventions under CBIM</t>
  </si>
  <si>
    <t xml:space="preserve">2.1a.3: </t>
  </si>
  <si>
    <t>Output 2.2: Strengthened leadership, participation, and decision-making capacity of women and girls in households and communities</t>
  </si>
  <si>
    <t>2.2.1: Number of women and girls trained on leadership and decision-making skills for household and community roles</t>
  </si>
  <si>
    <t>2.2.2: Number of male champions recognized and promoted for supporting women’s leadership and equitable decision-making in households and communities</t>
  </si>
  <si>
    <t>2.2.3: Number of women and girls supported to participate in Women’s Day and 16 Days of Activism events to practice leadership and advocate for gender equality</t>
  </si>
  <si>
    <t>Output 2.3: Improved access to SRH and social inclusion services</t>
  </si>
  <si>
    <t xml:space="preserve">2.3.1: Number of beneficiaries referred to the health facility for SRH services </t>
  </si>
  <si>
    <t>2.3.2: Number of PWDs linked to appropriate service providers to ensure access to assistive devices that enhance</t>
  </si>
  <si>
    <t>Outcome 3: Increased adoption of sustainable natural resource management</t>
  </si>
  <si>
    <t>Output 3.1: Strengthened community-based disaster preparedness, climate resilience, and environmental governance structures</t>
  </si>
  <si>
    <t>3.1.1: Number of Village Disaster Management (VDM) and regreening committees trained and supported to coordinate climate-resilient activities</t>
  </si>
  <si>
    <t>3.1.2: Number of Village Disaster Management (VDM) and regreening committees supported to develop disaster preparedness and regreening action plans</t>
  </si>
  <si>
    <t>3.1.3: Number of committee members trained on disaster risk management (DRM), climate-smart natural resource management (NRM), early warning systems (EWS), and community advocacy</t>
  </si>
  <si>
    <t xml:space="preserve">3.1.4 Number of DRM committee memebsr facilitated to participate in performance review meetings </t>
  </si>
  <si>
    <t>Output 3.2: Improved sustainable land use and forest management practices for enhanced environmental conservation and climate resilience</t>
  </si>
  <si>
    <t>3.2.1: Number of farmers supported to establish  and maintain nurseries for seedlings through farmer groups and youth clubs</t>
  </si>
  <si>
    <t>3.2.2: Number of community members trained on sustainable land and forest management</t>
  </si>
  <si>
    <t>3.2.3 Number of community members reached through community tree planting campaigns</t>
  </si>
  <si>
    <t>3.3: Increased community awareness and adoption of clean and sustainable energy solutions</t>
  </si>
  <si>
    <t>3.3.1: Number of households trained on briquette production and use</t>
  </si>
  <si>
    <t>3.3.2: Number of community members reached through awareness campaigns on clean energy benefits</t>
  </si>
  <si>
    <t>3.3.3: Number of community members trained on installation, safe use, and maintenance of clean energy stoves</t>
  </si>
  <si>
    <t xml:space="preserve">4. Monitoring, Evaluation and Learning Activities </t>
  </si>
  <si>
    <t>4.1.1: Number of technical monthly monitorings conducted</t>
  </si>
  <si>
    <t>4.1.2: Number of quaterly Joint district monitoring with the sectorial technical personnel conducted</t>
  </si>
  <si>
    <t>4.1.3 Number of people participating during quarterly implementation review meetings</t>
  </si>
  <si>
    <t>4.1.4: Number of  project groups profiled</t>
  </si>
  <si>
    <t>4.1.5: Number of Output data tracking and documentation conducted</t>
  </si>
  <si>
    <t>Output 1.1: Increased access to climate-smart agricultural production and water management</t>
  </si>
  <si>
    <t>FY 26</t>
  </si>
  <si>
    <t>PLANNED BUDGET VS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</si>
</sst>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/>
      <name val="Seaford Display"/>
    </font>
    <font>
      <b/>
      <sz val="9"/>
      <color theme="0"/>
      <name val="Aptos Narrow"/>
      <family val="2"/>
      <scheme val="minor"/>
    </font>
    <font>
      <b/>
      <sz val="9"/>
      <color theme="0"/>
      <name val="Seaford Display"/>
    </font>
    <font>
      <b/>
      <sz val="10"/>
      <name val="Seaford Display"/>
    </font>
    <font>
      <b/>
      <sz val="9"/>
      <color theme="1"/>
      <name val="Seaford Display"/>
    </font>
    <font>
      <sz val="9"/>
      <color theme="1"/>
      <name val="Seaford Display"/>
    </font>
    <font>
      <sz val="9"/>
      <color rgb="FFFF0000"/>
      <name val="Seaford Display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401B5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0" applyFont="1"/>
    <xf numFmtId="165" fontId="3" fillId="2" borderId="1" xfId="1" applyNumberFormat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165" fontId="3" fillId="2" borderId="3" xfId="1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 wrapText="1"/>
    </xf>
    <xf numFmtId="165" fontId="6" fillId="4" borderId="2" xfId="1" applyNumberFormat="1" applyFont="1" applyFill="1" applyBorder="1" applyAlignment="1">
      <alignment horizontal="center" vertical="center" wrapText="1"/>
    </xf>
    <xf numFmtId="165" fontId="6" fillId="4" borderId="3" xfId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165" fontId="3" fillId="2" borderId="7" xfId="1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1" fontId="5" fillId="3" borderId="6" xfId="0" applyNumberFormat="1" applyFont="1" applyFill="1" applyBorder="1" applyAlignment="1">
      <alignment horizontal="center" vertical="center" wrapText="1"/>
    </xf>
    <xf numFmtId="1" fontId="5" fillId="3" borderId="8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center" vertical="center" wrapText="1"/>
    </xf>
    <xf numFmtId="1" fontId="5" fillId="5" borderId="6" xfId="0" applyNumberFormat="1" applyFont="1" applyFill="1" applyBorder="1" applyAlignment="1">
      <alignment horizontal="center" vertical="center" wrapText="1"/>
    </xf>
    <xf numFmtId="1" fontId="5" fillId="5" borderId="8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left" vertical="center" wrapText="1"/>
    </xf>
    <xf numFmtId="1" fontId="5" fillId="6" borderId="9" xfId="0" applyNumberFormat="1" applyFont="1" applyFill="1" applyBorder="1" applyAlignment="1">
      <alignment horizontal="center" vertical="center" wrapText="1"/>
    </xf>
    <xf numFmtId="1" fontId="5" fillId="6" borderId="10" xfId="0" applyNumberFormat="1" applyFont="1" applyFill="1" applyBorder="1" applyAlignment="1">
      <alignment horizontal="center" vertical="center" wrapText="1"/>
    </xf>
    <xf numFmtId="1" fontId="5" fillId="6" borderId="11" xfId="0" applyNumberFormat="1" applyFont="1" applyFill="1" applyBorder="1" applyAlignment="1">
      <alignment horizontal="center" vertical="center" wrapText="1"/>
    </xf>
    <xf numFmtId="1" fontId="5" fillId="6" borderId="12" xfId="0" applyNumberFormat="1" applyFont="1" applyFill="1" applyBorder="1" applyAlignment="1">
      <alignment horizontal="center" vertical="center" wrapText="1"/>
    </xf>
    <xf numFmtId="9" fontId="7" fillId="7" borderId="13" xfId="0" applyNumberFormat="1" applyFont="1" applyFill="1" applyBorder="1" applyAlignment="1">
      <alignment horizontal="left" vertical="center" wrapText="1"/>
    </xf>
    <xf numFmtId="0" fontId="8" fillId="7" borderId="7" xfId="0" applyFont="1" applyFill="1" applyBorder="1" applyAlignment="1">
      <alignment horizontal="left" vertical="center" wrapText="1"/>
    </xf>
    <xf numFmtId="1" fontId="8" fillId="8" borderId="7" xfId="0" applyNumberFormat="1" applyFont="1" applyFill="1" applyBorder="1" applyAlignment="1">
      <alignment horizontal="left" vertical="center" wrapText="1"/>
    </xf>
    <xf numFmtId="41" fontId="8" fillId="7" borderId="7" xfId="2" applyFont="1" applyFill="1" applyBorder="1" applyAlignment="1">
      <alignment horizontal="center" vertical="center" wrapText="1"/>
    </xf>
    <xf numFmtId="41" fontId="8" fillId="7" borderId="14" xfId="2" applyFont="1" applyFill="1" applyBorder="1" applyAlignment="1">
      <alignment horizontal="center" vertical="center" wrapText="1"/>
    </xf>
    <xf numFmtId="41" fontId="8" fillId="7" borderId="15" xfId="2" applyFont="1" applyFill="1" applyBorder="1" applyAlignment="1">
      <alignment horizontal="center" vertical="center" wrapText="1"/>
    </xf>
    <xf numFmtId="41" fontId="8" fillId="7" borderId="13" xfId="2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1" fontId="8" fillId="7" borderId="4" xfId="0" applyNumberFormat="1" applyFont="1" applyFill="1" applyBorder="1" applyAlignment="1">
      <alignment horizontal="left" vertical="center" wrapText="1"/>
    </xf>
    <xf numFmtId="41" fontId="8" fillId="7" borderId="4" xfId="2" applyFont="1" applyFill="1" applyBorder="1" applyAlignment="1">
      <alignment horizontal="center" vertical="center" wrapText="1"/>
    </xf>
    <xf numFmtId="41" fontId="8" fillId="7" borderId="5" xfId="2" applyFont="1" applyFill="1" applyBorder="1" applyAlignment="1">
      <alignment horizontal="center" vertical="center" wrapText="1"/>
    </xf>
    <xf numFmtId="41" fontId="8" fillId="7" borderId="6" xfId="2" applyFont="1" applyFill="1" applyBorder="1" applyAlignment="1">
      <alignment horizontal="center" vertical="center" wrapText="1"/>
    </xf>
    <xf numFmtId="41" fontId="8" fillId="7" borderId="8" xfId="2" applyFont="1" applyFill="1" applyBorder="1" applyAlignment="1">
      <alignment horizontal="center" vertical="center" wrapText="1"/>
    </xf>
    <xf numFmtId="9" fontId="7" fillId="7" borderId="16" xfId="0" applyNumberFormat="1" applyFont="1" applyFill="1" applyBorder="1" applyAlignment="1">
      <alignment horizontal="left" vertical="center" wrapText="1"/>
    </xf>
    <xf numFmtId="0" fontId="8" fillId="7" borderId="9" xfId="0" applyFont="1" applyFill="1" applyBorder="1" applyAlignment="1">
      <alignment horizontal="left" vertical="center" wrapText="1"/>
    </xf>
    <xf numFmtId="1" fontId="8" fillId="7" borderId="9" xfId="0" applyNumberFormat="1" applyFont="1" applyFill="1" applyBorder="1" applyAlignment="1">
      <alignment horizontal="left" vertical="center" wrapText="1"/>
    </xf>
    <xf numFmtId="41" fontId="8" fillId="7" borderId="9" xfId="2" applyFont="1" applyFill="1" applyBorder="1" applyAlignment="1">
      <alignment horizontal="center" vertical="center" wrapText="1"/>
    </xf>
    <xf numFmtId="41" fontId="8" fillId="7" borderId="10" xfId="2" applyFont="1" applyFill="1" applyBorder="1" applyAlignment="1">
      <alignment horizontal="center" vertical="center" wrapText="1"/>
    </xf>
    <xf numFmtId="41" fontId="8" fillId="7" borderId="11" xfId="2" applyFont="1" applyFill="1" applyBorder="1" applyAlignment="1">
      <alignment horizontal="center" vertical="center" wrapText="1"/>
    </xf>
    <xf numFmtId="41" fontId="8" fillId="7" borderId="12" xfId="2" applyFont="1" applyFill="1" applyBorder="1" applyAlignment="1">
      <alignment horizontal="center" vertical="center" wrapText="1"/>
    </xf>
    <xf numFmtId="41" fontId="8" fillId="7" borderId="16" xfId="2" applyFont="1" applyFill="1" applyBorder="1" applyAlignment="1">
      <alignment horizontal="center" vertical="center" wrapText="1"/>
    </xf>
    <xf numFmtId="9" fontId="7" fillId="7" borderId="16" xfId="0" applyNumberFormat="1" applyFont="1" applyFill="1" applyBorder="1" applyAlignment="1">
      <alignment horizontal="left" vertical="center" wrapText="1"/>
    </xf>
    <xf numFmtId="0" fontId="8" fillId="7" borderId="16" xfId="0" applyFont="1" applyFill="1" applyBorder="1" applyAlignment="1">
      <alignment horizontal="left" vertical="center" wrapText="1"/>
    </xf>
    <xf numFmtId="1" fontId="8" fillId="8" borderId="16" xfId="0" applyNumberFormat="1" applyFont="1" applyFill="1" applyBorder="1" applyAlignment="1">
      <alignment horizontal="left" vertical="center" wrapText="1"/>
    </xf>
    <xf numFmtId="41" fontId="8" fillId="7" borderId="16" xfId="2" applyFont="1" applyFill="1" applyBorder="1" applyAlignment="1">
      <alignment horizontal="center" vertical="center" wrapText="1"/>
    </xf>
    <xf numFmtId="41" fontId="8" fillId="7" borderId="17" xfId="2" applyFont="1" applyFill="1" applyBorder="1" applyAlignment="1">
      <alignment horizontal="center" vertical="center" wrapText="1"/>
    </xf>
    <xf numFmtId="41" fontId="8" fillId="7" borderId="18" xfId="2" applyFont="1" applyFill="1" applyBorder="1" applyAlignment="1">
      <alignment horizontal="center" vertical="center" wrapText="1"/>
    </xf>
    <xf numFmtId="41" fontId="8" fillId="7" borderId="19" xfId="2" applyFont="1" applyFill="1" applyBorder="1" applyAlignment="1">
      <alignment horizontal="center" vertical="center" wrapText="1"/>
    </xf>
    <xf numFmtId="9" fontId="7" fillId="7" borderId="7" xfId="0" applyNumberFormat="1" applyFont="1" applyFill="1" applyBorder="1" applyAlignment="1">
      <alignment horizontal="left" vertical="center" wrapText="1"/>
    </xf>
    <xf numFmtId="41" fontId="8" fillId="7" borderId="3" xfId="2" applyFont="1" applyFill="1" applyBorder="1" applyAlignment="1">
      <alignment horizontal="center" vertical="center" wrapText="1"/>
    </xf>
    <xf numFmtId="9" fontId="7" fillId="7" borderId="4" xfId="0" applyNumberFormat="1" applyFont="1" applyFill="1" applyBorder="1" applyAlignment="1">
      <alignment horizontal="left" vertical="center" wrapText="1"/>
    </xf>
    <xf numFmtId="1" fontId="8" fillId="8" borderId="4" xfId="0" applyNumberFormat="1" applyFont="1" applyFill="1" applyBorder="1" applyAlignment="1">
      <alignment horizontal="left" vertical="center" wrapText="1"/>
    </xf>
    <xf numFmtId="41" fontId="8" fillId="4" borderId="5" xfId="2" applyFont="1" applyFill="1" applyBorder="1" applyAlignment="1">
      <alignment horizontal="center" vertical="center" wrapText="1"/>
    </xf>
    <xf numFmtId="9" fontId="7" fillId="7" borderId="9" xfId="0" applyNumberFormat="1" applyFont="1" applyFill="1" applyBorder="1" applyAlignment="1">
      <alignment horizontal="left" vertical="center" wrapText="1"/>
    </xf>
    <xf numFmtId="1" fontId="8" fillId="8" borderId="9" xfId="0" applyNumberFormat="1" applyFont="1" applyFill="1" applyBorder="1" applyAlignment="1">
      <alignment horizontal="left" vertical="center" wrapText="1"/>
    </xf>
    <xf numFmtId="41" fontId="8" fillId="4" borderId="10" xfId="2" applyFont="1" applyFill="1" applyBorder="1" applyAlignment="1">
      <alignment horizontal="center" vertical="center" wrapText="1"/>
    </xf>
    <xf numFmtId="1" fontId="8" fillId="7" borderId="7" xfId="0" applyNumberFormat="1" applyFont="1" applyFill="1" applyBorder="1" applyAlignment="1">
      <alignment horizontal="left" vertical="center" wrapText="1"/>
    </xf>
    <xf numFmtId="41" fontId="8" fillId="4" borderId="14" xfId="2" applyFont="1" applyFill="1" applyBorder="1" applyAlignment="1">
      <alignment horizontal="center" vertical="center" wrapText="1"/>
    </xf>
    <xf numFmtId="1" fontId="8" fillId="4" borderId="7" xfId="0" applyNumberFormat="1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1" fontId="5" fillId="6" borderId="16" xfId="0" applyNumberFormat="1" applyFont="1" applyFill="1" applyBorder="1" applyAlignment="1">
      <alignment horizontal="left" vertical="center" wrapText="1"/>
    </xf>
    <xf numFmtId="41" fontId="5" fillId="6" borderId="16" xfId="2" applyFont="1" applyFill="1" applyBorder="1" applyAlignment="1">
      <alignment horizontal="left" vertical="center" wrapText="1"/>
    </xf>
    <xf numFmtId="41" fontId="5" fillId="6" borderId="17" xfId="2" applyFont="1" applyFill="1" applyBorder="1" applyAlignment="1">
      <alignment horizontal="left" vertical="center" wrapText="1"/>
    </xf>
    <xf numFmtId="41" fontId="5" fillId="6" borderId="18" xfId="2" applyFont="1" applyFill="1" applyBorder="1" applyAlignment="1">
      <alignment horizontal="left" vertical="center" wrapText="1"/>
    </xf>
    <xf numFmtId="41" fontId="5" fillId="6" borderId="19" xfId="2" applyFont="1" applyFill="1" applyBorder="1" applyAlignment="1">
      <alignment horizontal="left" vertical="center" wrapText="1"/>
    </xf>
    <xf numFmtId="41" fontId="9" fillId="7" borderId="5" xfId="2" applyFont="1" applyFill="1" applyBorder="1" applyAlignment="1">
      <alignment horizontal="center" vertical="center" wrapText="1"/>
    </xf>
    <xf numFmtId="9" fontId="7" fillId="7" borderId="20" xfId="0" applyNumberFormat="1" applyFont="1" applyFill="1" applyBorder="1" applyAlignment="1">
      <alignment horizontal="left" vertical="center" wrapText="1"/>
    </xf>
    <xf numFmtId="0" fontId="8" fillId="7" borderId="13" xfId="0" applyFont="1" applyFill="1" applyBorder="1" applyAlignment="1">
      <alignment horizontal="left" vertical="center" wrapText="1"/>
    </xf>
    <xf numFmtId="1" fontId="8" fillId="7" borderId="13" xfId="0" applyNumberFormat="1" applyFont="1" applyFill="1" applyBorder="1" applyAlignment="1">
      <alignment horizontal="left" vertical="center" wrapText="1"/>
    </xf>
    <xf numFmtId="41" fontId="8" fillId="7" borderId="13" xfId="2" applyFont="1" applyFill="1" applyBorder="1" applyAlignment="1">
      <alignment horizontal="center" vertical="center" wrapText="1"/>
    </xf>
    <xf numFmtId="41" fontId="8" fillId="7" borderId="21" xfId="2" applyFont="1" applyFill="1" applyBorder="1" applyAlignment="1">
      <alignment horizontal="center" vertical="center" wrapText="1"/>
    </xf>
    <xf numFmtId="41" fontId="8" fillId="7" borderId="22" xfId="2" applyFont="1" applyFill="1" applyBorder="1" applyAlignment="1">
      <alignment horizontal="center" vertical="center" wrapText="1"/>
    </xf>
    <xf numFmtId="41" fontId="8" fillId="7" borderId="23" xfId="2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left" vertical="center" wrapText="1"/>
    </xf>
    <xf numFmtId="1" fontId="8" fillId="7" borderId="24" xfId="0" applyNumberFormat="1" applyFont="1" applyFill="1" applyBorder="1" applyAlignment="1">
      <alignment horizontal="left" vertical="center" wrapText="1"/>
    </xf>
    <xf numFmtId="41" fontId="8" fillId="7" borderId="24" xfId="2" applyFont="1" applyFill="1" applyBorder="1" applyAlignment="1">
      <alignment horizontal="center" vertical="center" wrapText="1"/>
    </xf>
    <xf numFmtId="41" fontId="8" fillId="7" borderId="25" xfId="2" applyFont="1" applyFill="1" applyBorder="1" applyAlignment="1">
      <alignment horizontal="center" vertical="center" wrapText="1"/>
    </xf>
    <xf numFmtId="41" fontId="8" fillId="7" borderId="26" xfId="2" applyFont="1" applyFill="1" applyBorder="1" applyAlignment="1">
      <alignment horizontal="center" vertical="center" wrapText="1"/>
    </xf>
    <xf numFmtId="41" fontId="8" fillId="7" borderId="27" xfId="2" applyFont="1" applyFill="1" applyBorder="1" applyAlignment="1">
      <alignment horizontal="center" vertical="center" wrapText="1"/>
    </xf>
    <xf numFmtId="41" fontId="8" fillId="7" borderId="20" xfId="2" applyFont="1" applyFill="1" applyBorder="1" applyAlignment="1">
      <alignment horizontal="center" vertical="center" wrapText="1"/>
    </xf>
    <xf numFmtId="41" fontId="9" fillId="7" borderId="11" xfId="2" applyFont="1" applyFill="1" applyBorder="1" applyAlignment="1">
      <alignment horizontal="center" vertical="center" wrapText="1"/>
    </xf>
    <xf numFmtId="0" fontId="2" fillId="0" borderId="28" xfId="0" applyFont="1" applyBorder="1"/>
    <xf numFmtId="0" fontId="5" fillId="6" borderId="7" xfId="0" applyFont="1" applyFill="1" applyBorder="1" applyAlignment="1">
      <alignment horizontal="left" vertical="center" wrapText="1"/>
    </xf>
    <xf numFmtId="1" fontId="5" fillId="6" borderId="7" xfId="0" applyNumberFormat="1" applyFont="1" applyFill="1" applyBorder="1" applyAlignment="1">
      <alignment horizontal="left" vertical="center" wrapText="1"/>
    </xf>
    <xf numFmtId="41" fontId="5" fillId="6" borderId="7" xfId="2" applyFont="1" applyFill="1" applyBorder="1" applyAlignment="1">
      <alignment horizontal="left" vertical="center" wrapText="1"/>
    </xf>
    <xf numFmtId="41" fontId="5" fillId="6" borderId="14" xfId="2" applyFont="1" applyFill="1" applyBorder="1" applyAlignment="1">
      <alignment horizontal="left" vertical="center" wrapText="1"/>
    </xf>
    <xf numFmtId="41" fontId="5" fillId="6" borderId="15" xfId="2" applyFont="1" applyFill="1" applyBorder="1" applyAlignment="1">
      <alignment horizontal="left" vertical="center" wrapText="1"/>
    </xf>
    <xf numFmtId="41" fontId="5" fillId="6" borderId="3" xfId="2" applyFont="1" applyFill="1" applyBorder="1" applyAlignment="1">
      <alignment horizontal="left" vertical="center" wrapText="1"/>
    </xf>
    <xf numFmtId="9" fontId="7" fillId="7" borderId="29" xfId="0" applyNumberFormat="1" applyFont="1" applyFill="1" applyBorder="1" applyAlignment="1">
      <alignment horizontal="left" vertical="center" wrapText="1"/>
    </xf>
    <xf numFmtId="41" fontId="8" fillId="7" borderId="4" xfId="2" applyFont="1" applyFill="1" applyBorder="1" applyAlignment="1">
      <alignment horizontal="center" vertical="center" wrapText="1"/>
    </xf>
    <xf numFmtId="41" fontId="8" fillId="7" borderId="29" xfId="2" applyFont="1" applyFill="1" applyBorder="1" applyAlignment="1">
      <alignment horizontal="center" vertical="center" wrapText="1"/>
    </xf>
    <xf numFmtId="1" fontId="8" fillId="4" borderId="4" xfId="0" applyNumberFormat="1" applyFont="1" applyFill="1" applyBorder="1" applyAlignment="1">
      <alignment horizontal="left" vertical="center" wrapText="1"/>
    </xf>
    <xf numFmtId="1" fontId="8" fillId="7" borderId="16" xfId="0" applyNumberFormat="1" applyFont="1" applyFill="1" applyBorder="1" applyAlignment="1">
      <alignment horizontal="left" vertical="center" wrapText="1"/>
    </xf>
    <xf numFmtId="1" fontId="8" fillId="8" borderId="13" xfId="0" applyNumberFormat="1" applyFont="1" applyFill="1" applyBorder="1" applyAlignment="1">
      <alignment horizontal="left" vertical="center" wrapText="1"/>
    </xf>
    <xf numFmtId="41" fontId="8" fillId="7" borderId="20" xfId="2" applyFont="1" applyFill="1" applyBorder="1" applyAlignment="1">
      <alignment horizontal="center" vertical="center" wrapText="1"/>
    </xf>
    <xf numFmtId="41" fontId="8" fillId="7" borderId="30" xfId="2" applyFont="1" applyFill="1" applyBorder="1" applyAlignment="1">
      <alignment horizontal="center" vertical="center" wrapText="1"/>
    </xf>
    <xf numFmtId="41" fontId="9" fillId="7" borderId="21" xfId="2" applyFont="1" applyFill="1" applyBorder="1" applyAlignment="1">
      <alignment horizontal="center" vertical="center" wrapText="1"/>
    </xf>
    <xf numFmtId="0" fontId="2" fillId="0" borderId="4" xfId="0" applyFont="1" applyBorder="1"/>
    <xf numFmtId="41" fontId="2" fillId="0" borderId="6" xfId="2" applyFont="1" applyBorder="1"/>
    <xf numFmtId="41" fontId="2" fillId="0" borderId="4" xfId="2" applyFont="1" applyBorder="1"/>
    <xf numFmtId="1" fontId="8" fillId="7" borderId="31" xfId="0" applyNumberFormat="1" applyFont="1" applyFill="1" applyBorder="1" applyAlignment="1">
      <alignment horizontal="left" vertical="center" wrapText="1"/>
    </xf>
    <xf numFmtId="41" fontId="2" fillId="0" borderId="31" xfId="2" applyFont="1" applyBorder="1"/>
    <xf numFmtId="41" fontId="2" fillId="0" borderId="32" xfId="2" applyFont="1" applyBorder="1"/>
    <xf numFmtId="41" fontId="2" fillId="0" borderId="0" xfId="2" applyFont="1"/>
    <xf numFmtId="0" fontId="8" fillId="7" borderId="29" xfId="0" applyFont="1" applyFill="1" applyBorder="1" applyAlignment="1">
      <alignment horizontal="left" vertical="center" wrapText="1"/>
    </xf>
    <xf numFmtId="1" fontId="8" fillId="7" borderId="29" xfId="0" applyNumberFormat="1" applyFont="1" applyFill="1" applyBorder="1" applyAlignment="1">
      <alignment horizontal="left" vertical="center" wrapText="1"/>
    </xf>
    <xf numFmtId="41" fontId="8" fillId="7" borderId="29" xfId="2" applyFont="1" applyFill="1" applyBorder="1" applyAlignment="1">
      <alignment horizontal="center" vertical="center" wrapText="1"/>
    </xf>
    <xf numFmtId="41" fontId="8" fillId="7" borderId="33" xfId="2" applyFont="1" applyFill="1" applyBorder="1" applyAlignment="1">
      <alignment horizontal="center" vertical="center" wrapText="1"/>
    </xf>
    <xf numFmtId="41" fontId="8" fillId="7" borderId="34" xfId="2" applyFont="1" applyFill="1" applyBorder="1" applyAlignment="1">
      <alignment horizontal="center" vertical="center" wrapText="1"/>
    </xf>
    <xf numFmtId="41" fontId="8" fillId="7" borderId="35" xfId="2" applyFont="1" applyFill="1" applyBorder="1" applyAlignment="1">
      <alignment horizontal="center" vertical="center" wrapText="1"/>
    </xf>
    <xf numFmtId="41" fontId="8" fillId="7" borderId="7" xfId="2" applyFont="1" applyFill="1" applyBorder="1" applyAlignment="1">
      <alignment horizontal="center" vertical="center" wrapText="1"/>
    </xf>
    <xf numFmtId="41" fontId="8" fillId="7" borderId="9" xfId="2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0" borderId="0" xfId="0"/>
    <xf numFmtId="0" fontId="11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center" vertical="center" wrapText="1"/>
    </xf>
    <xf numFmtId="0" fontId="0" fillId="10" borderId="0" xfId="0" applyFill="1"/>
    <xf numFmtId="0" fontId="11" fillId="10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wrapText="1"/>
    </xf>
    <xf numFmtId="0" fontId="0" fillId="9" borderId="0" xfId="0" applyFill="1"/>
    <xf numFmtId="0" fontId="0" fillId="11" borderId="0" xfId="0" applyFill="1"/>
    <xf numFmtId="0" fontId="11" fillId="12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wrapText="1"/>
    </xf>
    <xf numFmtId="0" fontId="11" fillId="13" borderId="0" xfId="0" applyFont="1" applyFill="1" applyAlignment="1">
      <alignment horizontal="center" wrapText="1"/>
    </xf>
    <xf numFmtId="0" fontId="11" fillId="13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11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12" borderId="0" xfId="0" applyFill="1"/>
    <xf numFmtId="0" fontId="0" fillId="13" borderId="0" xfId="0" applyFill="1"/>
    <xf numFmtId="0" fontId="11" fillId="11" borderId="0" xfId="0" applyFont="1" applyFill="1" applyAlignment="1">
      <alignment horizontal="center" wrapText="1"/>
    </xf>
    <xf numFmtId="0" fontId="11" fillId="14" borderId="0" xfId="0" applyFont="1" applyFill="1" applyAlignment="1">
      <alignment horizontal="center" wrapText="1"/>
    </xf>
    <xf numFmtId="0" fontId="11" fillId="4" borderId="0" xfId="0" applyFont="1" applyFill="1" applyAlignment="1">
      <alignment vertical="center" wrapText="1"/>
    </xf>
    <xf numFmtId="0" fontId="11" fillId="11" borderId="2" xfId="0" applyFont="1" applyFill="1" applyBorder="1" applyAlignment="1">
      <alignment horizontal="center" wrapText="1"/>
    </xf>
    <xf numFmtId="0" fontId="11" fillId="14" borderId="2" xfId="0" applyFont="1" applyFill="1" applyBorder="1" applyAlignment="1">
      <alignment horizontal="center" wrapText="1"/>
    </xf>
    <xf numFmtId="0" fontId="11" fillId="11" borderId="0" xfId="0" applyFont="1" applyFill="1" applyAlignment="1">
      <alignment wrapText="1"/>
    </xf>
    <xf numFmtId="0" fontId="11" fillId="14" borderId="0" xfId="0" applyFont="1" applyFill="1" applyAlignment="1">
      <alignment wrapText="1"/>
    </xf>
    <xf numFmtId="0" fontId="11" fillId="14" borderId="0" xfId="0" applyFont="1" applyFill="1" applyAlignment="1">
      <alignment vertical="center" wrapText="1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4" fillId="11" borderId="0" xfId="0" applyFont="1" applyFill="1" applyAlignment="1">
      <alignment vertical="center"/>
    </xf>
    <xf numFmtId="0" fontId="14" fillId="11" borderId="0" xfId="0" applyFont="1" applyFill="1"/>
    <xf numFmtId="0" fontId="12" fillId="1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/>
    <xf numFmtId="0" fontId="12" fillId="4" borderId="0" xfId="0" applyFont="1" applyFill="1" applyAlignment="1">
      <alignment vertical="center"/>
    </xf>
    <xf numFmtId="0" fontId="11" fillId="15" borderId="0" xfId="0" applyFont="1" applyFill="1" applyAlignment="1">
      <alignment horizontal="center" vertical="top" wrapText="1"/>
    </xf>
    <xf numFmtId="0" fontId="15" fillId="16" borderId="0" xfId="0" applyFont="1" applyFill="1" applyAlignment="1">
      <alignment horizontal="center" vertical="center"/>
    </xf>
    <xf numFmtId="0" fontId="11" fillId="15" borderId="2" xfId="0" applyFont="1" applyFill="1" applyBorder="1" applyAlignment="1">
      <alignment horizontal="center" vertical="top" wrapText="1"/>
    </xf>
    <xf numFmtId="0" fontId="15" fillId="16" borderId="2" xfId="0" applyFont="1" applyFill="1" applyBorder="1" applyAlignment="1">
      <alignment horizontal="center" vertical="center"/>
    </xf>
    <xf numFmtId="0" fontId="0" fillId="15" borderId="0" xfId="0" applyFill="1"/>
    <xf numFmtId="0" fontId="0" fillId="16" borderId="0" xfId="0" applyFill="1"/>
    <xf numFmtId="0" fontId="0" fillId="4" borderId="0" xfId="0" applyFill="1"/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 wrapText="1"/>
    </xf>
    <xf numFmtId="0" fontId="17" fillId="4" borderId="36" xfId="0" applyFont="1" applyFill="1" applyBorder="1"/>
    <xf numFmtId="0" fontId="15" fillId="4" borderId="36" xfId="0" applyFont="1" applyFill="1" applyBorder="1" applyAlignment="1">
      <alignment horizont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2" xfId="0" applyFont="1" applyFill="1" applyBorder="1" applyAlignment="1">
      <alignment horizontal="center" wrapText="1"/>
    </xf>
    <xf numFmtId="0" fontId="17" fillId="4" borderId="0" xfId="0" applyFont="1" applyFill="1"/>
    <xf numFmtId="0" fontId="15" fillId="4" borderId="2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8" fillId="9" borderId="0" xfId="0" applyFont="1" applyFill="1" applyAlignment="1">
      <alignment horizontal="center" vertical="center" wrapText="1"/>
    </xf>
    <xf numFmtId="0" fontId="11" fillId="9" borderId="36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0" fillId="9" borderId="0" xfId="0" applyFill="1"/>
    <xf numFmtId="0" fontId="12" fillId="11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11" fillId="12" borderId="0" xfId="0" applyFont="1" applyFill="1" applyAlignment="1">
      <alignment horizontal="center" wrapText="1"/>
    </xf>
    <xf numFmtId="0" fontId="0" fillId="12" borderId="0" xfId="0" applyFill="1"/>
    <xf numFmtId="0" fontId="11" fillId="10" borderId="0" xfId="0" applyFont="1" applyFill="1" applyAlignment="1">
      <alignment horizontal="center" wrapText="1"/>
    </xf>
    <xf numFmtId="0" fontId="11" fillId="12" borderId="2" xfId="0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center" wrapText="1"/>
    </xf>
    <xf numFmtId="0" fontId="11" fillId="15" borderId="0" xfId="0" applyFont="1" applyFill="1"/>
    <xf numFmtId="0" fontId="0" fillId="13" borderId="0" xfId="0" applyFill="1"/>
    <xf numFmtId="0" fontId="11" fillId="14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11" fillId="15" borderId="2" xfId="0" applyFont="1" applyFill="1" applyBorder="1"/>
    <xf numFmtId="0" fontId="11" fillId="14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horizontal="center" wrapText="1"/>
    </xf>
    <xf numFmtId="0" fontId="12" fillId="17" borderId="0" xfId="0" applyFont="1" applyFill="1" applyAlignment="1">
      <alignment horizontal="center" vertical="center" wrapText="1"/>
    </xf>
    <xf numFmtId="0" fontId="0" fillId="15" borderId="0" xfId="0" applyFill="1"/>
    <xf numFmtId="0" fontId="14" fillId="12" borderId="2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wrapText="1"/>
    </xf>
    <xf numFmtId="0" fontId="12" fillId="17" borderId="2" xfId="0" applyFont="1" applyFill="1" applyBorder="1" applyAlignment="1">
      <alignment horizontal="center" vertical="center" wrapText="1"/>
    </xf>
    <xf numFmtId="0" fontId="0" fillId="15" borderId="2" xfId="0" applyFill="1" applyBorder="1"/>
    <xf numFmtId="0" fontId="0" fillId="17" borderId="0" xfId="0" applyFill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Relationship Id="rId4" Type="http://schemas.openxmlformats.org/officeDocument/2006/relationships/chartUserShapes" Target="../drawings/drawing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Relationship Id="rId4" Type="http://schemas.openxmlformats.org/officeDocument/2006/relationships/chartUserShapes" Target="../drawings/drawing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Relationship Id="rId4" Type="http://schemas.openxmlformats.org/officeDocument/2006/relationships/chartUserShapes" Target="../drawings/drawing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0.xml"/><Relationship Id="rId1" Type="http://schemas.microsoft.com/office/2011/relationships/chartStyle" Target="style20.xml"/><Relationship Id="rId4" Type="http://schemas.openxmlformats.org/officeDocument/2006/relationships/chartUserShapes" Target="../drawings/drawing1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1.xml"/><Relationship Id="rId1" Type="http://schemas.microsoft.com/office/2011/relationships/chartStyle" Target="style21.xml"/><Relationship Id="rId4" Type="http://schemas.openxmlformats.org/officeDocument/2006/relationships/chartUserShapes" Target="../drawings/drawing1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2.xml"/><Relationship Id="rId1" Type="http://schemas.microsoft.com/office/2011/relationships/chartStyle" Target="style22.xml"/><Relationship Id="rId4" Type="http://schemas.openxmlformats.org/officeDocument/2006/relationships/chartUserShapes" Target="../drawings/drawing1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IPTT!$C$5</c:f>
              <c:strCache>
                <c:ptCount val="1"/>
                <c:pt idx="0">
                  <c:v>1.1.1: Number of farmers trained on Zai pits and moisture conservation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(IPTT!$D$5,IPTT!$P$5)</c:f>
              <c:numCache>
                <c:formatCode>_(* #,##0_);_(* \(#,##0\);_(* "-"_);_(@_)</c:formatCode>
                <c:ptCount val="2"/>
                <c:pt idx="0" formatCode="0">
                  <c:v>98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8-4223-A7A3-C795B2E31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511139279"/>
        <c:axId val="1562493807"/>
      </c:barChart>
      <c:catAx>
        <c:axId val="151113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562493807"/>
        <c:crosses val="autoZero"/>
        <c:auto val="1"/>
        <c:lblAlgn val="ctr"/>
        <c:lblOffset val="100"/>
        <c:noMultiLvlLbl val="0"/>
      </c:catAx>
      <c:valAx>
        <c:axId val="156249380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111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IPTT!$C$9</c:f>
              <c:strCache>
                <c:ptCount val="1"/>
                <c:pt idx="0">
                  <c:v>1.1b.1: Number of farmers who  received  quality seeds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(IPTT!$D$9,IPTT!$P$9)</c:f>
              <c:numCache>
                <c:formatCode>_(* #,##0_);_(* \(#,##0\);_(* "-"_);_(@_)</c:formatCode>
                <c:ptCount val="2"/>
                <c:pt idx="0" formatCode="0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7-4AF2-B1C0-289480A65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693187999"/>
        <c:axId val="1562528079"/>
      </c:barChart>
      <c:catAx>
        <c:axId val="16931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562528079"/>
        <c:crosses val="autoZero"/>
        <c:auto val="1"/>
        <c:lblAlgn val="ctr"/>
        <c:lblOffset val="100"/>
        <c:noMultiLvlLbl val="0"/>
      </c:catAx>
      <c:valAx>
        <c:axId val="156252807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931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IPTT!$C$10</c:f>
              <c:strCache>
                <c:ptCount val="1"/>
                <c:pt idx="0">
                  <c:v>1.1c.1: Number of BSPs and staff trained on farmer business curriculum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(IPTT!$D$10,IPTT!$P$10)</c:f>
              <c:numCache>
                <c:formatCode>_(* #,##0_);_(* \(#,##0\);_(* "-"_);_(@_)</c:formatCode>
                <c:ptCount val="2"/>
                <c:pt idx="0" formatCode="0">
                  <c:v>20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2-41DB-8C56-5D4357B586EB}"/>
            </c:ext>
          </c:extLst>
        </c:ser>
        <c:ser>
          <c:idx val="1"/>
          <c:order val="1"/>
          <c:tx>
            <c:strRef>
              <c:f>IPTT!$C$11</c:f>
              <c:strCache>
                <c:ptCount val="1"/>
                <c:pt idx="0">
                  <c:v>1.1c.2: Number of farmers trained on farming as a business by BSPs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(IPTT!$D$11,IPTT!$P$11)</c:f>
              <c:numCache>
                <c:formatCode>_(* #,##0_);_(* \(#,##0\);_(* "-"_);_(@_)</c:formatCode>
                <c:ptCount val="2"/>
                <c:pt idx="0" formatCode="0">
                  <c:v>59</c:v>
                </c:pt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2-41DB-8C56-5D4357B586EB}"/>
            </c:ext>
          </c:extLst>
        </c:ser>
        <c:ser>
          <c:idx val="2"/>
          <c:order val="2"/>
          <c:tx>
            <c:strRef>
              <c:f>IPTT!$C$12</c:f>
              <c:strCache>
                <c:ptCount val="1"/>
                <c:pt idx="0">
                  <c:v>1.1c.3: Number of youth trained on enterprise selection and management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(IPTT!$D$12,IPTT!$P$12)</c:f>
              <c:numCache>
                <c:formatCode>_(* #,##0_);_(* \(#,##0\);_(* "-"_);_(@_)</c:formatCode>
                <c:ptCount val="2"/>
                <c:pt idx="0" formatCode="0">
                  <c:v>113</c:v>
                </c:pt>
                <c:pt idx="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02-41DB-8C56-5D4357B58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284765279"/>
        <c:axId val="1562566703"/>
      </c:barChart>
      <c:catAx>
        <c:axId val="128476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562566703"/>
        <c:crosses val="autoZero"/>
        <c:auto val="1"/>
        <c:lblAlgn val="ctr"/>
        <c:lblOffset val="100"/>
        <c:noMultiLvlLbl val="0"/>
      </c:catAx>
      <c:valAx>
        <c:axId val="156256670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28476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5947712418300651E-2"/>
          <c:y val="5.8047493403693931E-2"/>
          <c:w val="0.92810457516339873"/>
          <c:h val="0.49739513431533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IPTT!$C$15</c:f>
              <c:strCache>
                <c:ptCount val="1"/>
                <c:pt idx="0">
                  <c:v>1.3.1: Number of households trained on improved chicken husbandry, feeding, housing, and disease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(IPTT!$D$15,IPTT!$P$15)</c:f>
              <c:numCache>
                <c:formatCode>_(* #,##0_);_(* \(#,##0\);_(* "-"_);_(@_)</c:formatCode>
                <c:ptCount val="2"/>
                <c:pt idx="0" formatCode="0">
                  <c:v>177</c:v>
                </c:pt>
                <c:pt idx="1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E-41DD-92D0-89388E55588B}"/>
            </c:ext>
          </c:extLst>
        </c:ser>
        <c:ser>
          <c:idx val="1"/>
          <c:order val="1"/>
          <c:tx>
            <c:strRef>
              <c:f>IPTT!$C$16</c:f>
              <c:strCache>
                <c:ptCount val="1"/>
                <c:pt idx="0">
                  <c:v>1.3.2: Number of beneficiaries trained on poultry business management and record keeping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(IPTT!$D$16,IPTT!$P$16)</c:f>
              <c:numCache>
                <c:formatCode>_(* #,##0_);_(* \(#,##0\);_(* "-"_);_(@_)</c:formatCode>
                <c:ptCount val="2"/>
                <c:pt idx="0" formatCode="0">
                  <c:v>15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E-41DD-92D0-89388E55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765139007"/>
        <c:axId val="1689172735"/>
      </c:barChart>
      <c:catAx>
        <c:axId val="17651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172735"/>
        <c:crosses val="autoZero"/>
        <c:auto val="1"/>
        <c:lblAlgn val="ctr"/>
        <c:lblOffset val="100"/>
        <c:noMultiLvlLbl val="0"/>
      </c:catAx>
      <c:valAx>
        <c:axId val="168917273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6513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773929421612997E-2"/>
          <c:y val="0.666884673716577"/>
          <c:w val="0.96512988202056127"/>
          <c:h val="0.3014530571541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IPTT!$C$17</c:f>
              <c:strCache>
                <c:ptCount val="1"/>
                <c:pt idx="0">
                  <c:v>1.3.3: Number of VSLA groups supported by DDS-NK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(IPTT!$D$17,IPTT!$P$17)</c:f>
              <c:numCache>
                <c:formatCode>_(* #,##0_);_(* \(#,##0\);_(* "-"_);_(@_)</c:formatCode>
                <c:ptCount val="2"/>
                <c:pt idx="0" formatCode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C-4261-A3A3-8DC3B42C3022}"/>
            </c:ext>
          </c:extLst>
        </c:ser>
        <c:ser>
          <c:idx val="1"/>
          <c:order val="1"/>
          <c:tx>
            <c:strRef>
              <c:f>IPTT!$C$18</c:f>
              <c:strCache>
                <c:ptCount val="1"/>
                <c:pt idx="0">
                  <c:v>1.3.4: Number of groups mentored on basic skills for making local skirts and beads for income generation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(IPTT!$D$18,IPTT!$P$18)</c:f>
              <c:numCache>
                <c:formatCode>_(* #,##0_);_(* \(#,##0\);_(* "-"_);_(@_)</c:formatCode>
                <c:ptCount val="2"/>
                <c:pt idx="0" formatCode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FC-4261-A3A3-8DC3B42C3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284772143"/>
        <c:axId val="1689165663"/>
      </c:barChart>
      <c:catAx>
        <c:axId val="128477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165663"/>
        <c:crosses val="autoZero"/>
        <c:auto val="1"/>
        <c:lblAlgn val="ctr"/>
        <c:lblOffset val="100"/>
        <c:noMultiLvlLbl val="0"/>
      </c:catAx>
      <c:valAx>
        <c:axId val="168916566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28477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097378479491093E-2"/>
          <c:y val="0.74007749031371084"/>
          <c:w val="0.97294390945557196"/>
          <c:h val="0.238758488522268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4990055260242604E-2"/>
          <c:y val="5.9060377715847288E-2"/>
          <c:w val="0.93001988947951475"/>
          <c:h val="0.61943132931085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IPTT!$C$20</c:f>
              <c:strCache>
                <c:ptCount val="1"/>
                <c:pt idx="0">
                  <c:v>1.4.2: Number of producers linked to markets, input suppliers, veterinary services, agro-dealers, and buyers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(IPTT!$D$20,IPTT!$P$20)</c:f>
              <c:numCache>
                <c:formatCode>_(* #,##0_);_(* \(#,##0\);_(* "-"_);_(@_)</c:formatCode>
                <c:ptCount val="2"/>
                <c:pt idx="0" formatCode="0">
                  <c:v>2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4-4B8B-9F19-15C094F5DB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502059231"/>
        <c:axId val="1689197215"/>
      </c:barChart>
      <c:catAx>
        <c:axId val="150205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197215"/>
        <c:crosses val="autoZero"/>
        <c:auto val="1"/>
        <c:lblAlgn val="ctr"/>
        <c:lblOffset val="100"/>
        <c:noMultiLvlLbl val="0"/>
      </c:catAx>
      <c:valAx>
        <c:axId val="168919721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0205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480789407706298E-3"/>
          <c:y val="0.7878519102248438"/>
          <c:w val="0.97316084930907787"/>
          <c:h val="0.17993333829378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555555555555555E-2"/>
          <c:y val="0.05"/>
          <c:w val="0.93888888888888888"/>
          <c:h val="0.53119434502505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IPTT!$C$22</c:f>
              <c:strCache>
                <c:ptCount val="1"/>
                <c:pt idx="0">
                  <c:v>2.1.1: Number of community members reached through dialogues and sensitization sessions on GEDSI and GBV prevention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(IPTT!$D$22,IPTT!$P$22)</c:f>
              <c:numCache>
                <c:formatCode>_(* #,##0_);_(* \(#,##0\);_(* "-"_);_(@_)</c:formatCode>
                <c:ptCount val="2"/>
                <c:pt idx="0" formatCode="0">
                  <c:v>150</c:v>
                </c:pt>
                <c:pt idx="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6-48DF-9EFF-516806E763E6}"/>
            </c:ext>
          </c:extLst>
        </c:ser>
        <c:ser>
          <c:idx val="1"/>
          <c:order val="1"/>
          <c:tx>
            <c:strRef>
              <c:f>IPTT!$C$23</c:f>
              <c:strCache>
                <c:ptCount val="1"/>
                <c:pt idx="0">
                  <c:v>2.1.2: Number of faith leaders trained and engaged to integrate GEDSI and GBV prevention messages in preaching and community interactions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(IPTT!$D$23,IPTT!$P$23)</c:f>
              <c:numCache>
                <c:formatCode>_(* #,##0_);_(* \(#,##0\);_(* "-"_);_(@_)</c:formatCode>
                <c:ptCount val="2"/>
                <c:pt idx="0" formatCode="0">
                  <c:v>19</c:v>
                </c:pt>
                <c:pt idx="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6-48DF-9EFF-516806E76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683809535"/>
        <c:axId val="1689210271"/>
      </c:barChart>
      <c:catAx>
        <c:axId val="16838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210271"/>
        <c:crosses val="autoZero"/>
        <c:auto val="1"/>
        <c:lblAlgn val="ctr"/>
        <c:lblOffset val="100"/>
        <c:noMultiLvlLbl val="0"/>
      </c:catAx>
      <c:valAx>
        <c:axId val="168921027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8380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318241469816274E-2"/>
          <c:y val="0.68286864710093065"/>
          <c:w val="0.97180774278215221"/>
          <c:h val="0.28985862562634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3396580448346105E-2"/>
          <c:y val="5.0142441143649658E-2"/>
          <c:w val="0.93320683910330782"/>
          <c:h val="0.51576342161775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IPTT!$C$24</c:f>
              <c:strCache>
                <c:ptCount val="1"/>
                <c:pt idx="0">
                  <c:v>2.1.3: Number of adolescents reached through awareness sessions on GEDSI principles and GBV prevention, including rights, reporting, and referral pathways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(IPTT!$D$24,IPTT!$P$24)</c:f>
              <c:numCache>
                <c:formatCode>_(* #,##0_);_(* \(#,##0\);_(* "-"_);_(@_)</c:formatCode>
                <c:ptCount val="2"/>
                <c:pt idx="0" formatCode="0">
                  <c:v>150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4-4E09-A383-0196F149569F}"/>
            </c:ext>
          </c:extLst>
        </c:ser>
        <c:ser>
          <c:idx val="1"/>
          <c:order val="1"/>
          <c:tx>
            <c:strRef>
              <c:f>IPTT!$C$25</c:f>
              <c:strCache>
                <c:ptCount val="1"/>
                <c:pt idx="0">
                  <c:v>2.1.4: Number of community members reached through GEDSI and GBV awareness dialogues conducted during market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(IPTT!$D$25,IPTT!$P$25)</c:f>
              <c:numCache>
                <c:formatCode>_(* #,##0_);_(* \(#,##0\);_(* "-"_);_(@_)</c:formatCode>
                <c:ptCount val="2"/>
                <c:pt idx="0" formatCode="0">
                  <c:v>125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F4-4E09-A383-0196F1495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692350607"/>
        <c:axId val="1689201567"/>
      </c:barChart>
      <c:catAx>
        <c:axId val="169235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201567"/>
        <c:crosses val="autoZero"/>
        <c:auto val="1"/>
        <c:lblAlgn val="ctr"/>
        <c:lblOffset val="100"/>
        <c:noMultiLvlLbl val="0"/>
      </c:catAx>
      <c:valAx>
        <c:axId val="168920156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9235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876759896647866E-3"/>
          <c:y val="0.66034896206156057"/>
          <c:w val="0.98278850382861749"/>
          <c:h val="0.33048246241947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1541218637992835E-2"/>
          <c:y val="5.0285714285714288E-2"/>
          <c:w val="0.93691756272401439"/>
          <c:h val="0.530801169853768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IPTT!$C$32</c:f>
              <c:strCache>
                <c:ptCount val="1"/>
                <c:pt idx="0">
                  <c:v>2.2.3: Number of women and girls supported to participate in Women’s Day and 16 Days of Activism events to practice leadership and advocate for gender equality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(IPTT!$D$32,IPTT!$P$32)</c:f>
              <c:numCache>
                <c:formatCode>_(* #,##0_);_(* \(#,##0\);_(* "-"_);_(@_)</c:formatCode>
                <c:ptCount val="2"/>
                <c:pt idx="0" formatCode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7-4706-A201-88136049AF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765151679"/>
        <c:axId val="1689280447"/>
      </c:barChart>
      <c:catAx>
        <c:axId val="176515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280447"/>
        <c:crosses val="autoZero"/>
        <c:auto val="1"/>
        <c:lblAlgn val="ctr"/>
        <c:lblOffset val="100"/>
        <c:noMultiLvlLbl val="0"/>
      </c:catAx>
      <c:valAx>
        <c:axId val="168928044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6515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458724917449838E-2"/>
          <c:y val="0.79762789651293586"/>
          <c:w val="0.96594970789941581"/>
          <c:h val="0.1749435320584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IPTT!$C$37</c:f>
              <c:strCache>
                <c:ptCount val="1"/>
                <c:pt idx="0">
                  <c:v>3.1.2: Number of Village Disaster Management (VDM) and regreening committees supported to develop disaster preparedness and regreening action plans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(IPTT!$D$37,IPTT!$P$37)</c:f>
              <c:numCache>
                <c:formatCode>_(* #,##0_);_(* \(#,##0\);_(* "-"_);_(@_)</c:formatCode>
                <c:ptCount val="2"/>
                <c:pt idx="0" formatCode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2-48D4-8B0B-DCC19670F1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847551919"/>
        <c:axId val="1689173279"/>
      </c:barChart>
      <c:catAx>
        <c:axId val="184755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173279"/>
        <c:crosses val="autoZero"/>
        <c:auto val="1"/>
        <c:lblAlgn val="ctr"/>
        <c:lblOffset val="100"/>
        <c:noMultiLvlLbl val="0"/>
      </c:catAx>
      <c:valAx>
        <c:axId val="168917327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84755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33837386650543E-3"/>
          <c:y val="0.73766579177602798"/>
          <c:w val="0.97759808294476069"/>
          <c:h val="0.22677865266841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7130791818786854E-2"/>
          <c:y val="6.4468819842182917E-2"/>
          <c:w val="0.92573841636242626"/>
          <c:h val="0.537694415948026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IPTT!$C$40</c:f>
              <c:strCache>
                <c:ptCount val="1"/>
                <c:pt idx="0">
                  <c:v>3.2.1: Number of farmers supported to establish  and maintain nurseries for seedlings through farmer groups and youth clubs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(IPTT!$D$2,IPTT!$P$2)</c:f>
              <c:strCache>
                <c:ptCount val="2"/>
                <c:pt idx="0">
                  <c:v> Q1 Target </c:v>
                </c:pt>
                <c:pt idx="1">
                  <c:v>Q1 Results</c:v>
                </c:pt>
              </c:strCache>
            </c:strRef>
          </c:cat>
          <c:val>
            <c:numRef>
              <c:f>(IPTT!$D$40,IPTT!$P$40)</c:f>
              <c:numCache>
                <c:formatCode>_(* #,##0_);_(* \(#,##0\);_(* "-"_);_(@_)</c:formatCode>
                <c:ptCount val="2"/>
                <c:pt idx="0" formatCode="0">
                  <c:v>99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8-4C05-BEA1-6E03ABBBB3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683809535"/>
        <c:axId val="1689203743"/>
      </c:barChart>
      <c:catAx>
        <c:axId val="16838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203743"/>
        <c:crosses val="autoZero"/>
        <c:auto val="1"/>
        <c:lblAlgn val="ctr"/>
        <c:lblOffset val="100"/>
        <c:noMultiLvlLbl val="0"/>
      </c:catAx>
      <c:valAx>
        <c:axId val="168920374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8380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69261339111239E-2"/>
          <c:y val="0.73912048285623166"/>
          <c:w val="0.96413489773483563"/>
          <c:h val="0.22571470632075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1541211516673946E-2"/>
          <c:y val="6.4233547107973049E-2"/>
          <c:w val="0.93691757696665212"/>
          <c:h val="0.47475350318822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IPTT!$D$2</c:f>
              <c:strCache>
                <c:ptCount val="1"/>
                <c:pt idx="0">
                  <c:v> Q1 Target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(IPTT!$C$46,IPTT!$C$47,IPTT!$C$48)</c:f>
              <c:strCache>
                <c:ptCount val="3"/>
                <c:pt idx="0">
                  <c:v>4.1.1: Number of technical monthly monitorings conducted</c:v>
                </c:pt>
                <c:pt idx="1">
                  <c:v>4.1.2: Number of quaterly Joint district monitoring with the sectorial technical personnel conducted</c:v>
                </c:pt>
                <c:pt idx="2">
                  <c:v>4.1.3 Number of people participating during quarterly implementation review meetings</c:v>
                </c:pt>
              </c:strCache>
            </c:strRef>
          </c:cat>
          <c:val>
            <c:numRef>
              <c:f>(IPTT!$D$46,IPTT!$D$47,IPTT!$D$48)</c:f>
              <c:numCache>
                <c:formatCode>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7-465C-9993-9A30CAD83A89}"/>
            </c:ext>
          </c:extLst>
        </c:ser>
        <c:ser>
          <c:idx val="1"/>
          <c:order val="1"/>
          <c:tx>
            <c:strRef>
              <c:f>IPTT!$P$2</c:f>
              <c:strCache>
                <c:ptCount val="1"/>
                <c:pt idx="0">
                  <c:v>Q1 Results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(IPTT!$C$46,IPTT!$C$47,IPTT!$C$48)</c:f>
              <c:strCache>
                <c:ptCount val="3"/>
                <c:pt idx="0">
                  <c:v>4.1.1: Number of technical monthly monitorings conducted</c:v>
                </c:pt>
                <c:pt idx="1">
                  <c:v>4.1.2: Number of quaterly Joint district monitoring with the sectorial technical personnel conducted</c:v>
                </c:pt>
                <c:pt idx="2">
                  <c:v>4.1.3 Number of people participating during quarterly implementation review meetings</c:v>
                </c:pt>
              </c:strCache>
            </c:strRef>
          </c:cat>
          <c:val>
            <c:numRef>
              <c:f>(IPTT!$P$46,IPTT!$P$47,IPTT!$P$48)</c:f>
              <c:numCache>
                <c:formatCode>_(* #,##0_);_(* \(#,##0\);_(* "-"_);_(@_)</c:formatCode>
                <c:ptCount val="3"/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7-465C-9993-9A30CAD83A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82239439"/>
        <c:axId val="117697423"/>
      </c:barChart>
      <c:catAx>
        <c:axId val="18223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17697423"/>
        <c:crosses val="autoZero"/>
        <c:auto val="1"/>
        <c:lblAlgn val="ctr"/>
        <c:lblOffset val="100"/>
        <c:noMultiLvlLbl val="0"/>
      </c:catAx>
      <c:valAx>
        <c:axId val="11769742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8223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745730550284632E-2"/>
          <c:y val="0.14888774354505924"/>
          <c:w val="0.91650853889943074"/>
          <c:h val="0.51302036420119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IPTT!$C$5</c:f>
              <c:strCache>
                <c:ptCount val="1"/>
                <c:pt idx="0">
                  <c:v>1.1.1: Number of farmers trained on Zai pits and moisture conservation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IPTT!$H$2:$I$2</c:f>
              <c:strCache>
                <c:ptCount val="2"/>
                <c:pt idx="0">
                  <c:v>Planned Budget</c:v>
                </c:pt>
                <c:pt idx="1">
                  <c:v>Budget Expense</c:v>
                </c:pt>
              </c:strCache>
            </c:strRef>
          </c:cat>
          <c:val>
            <c:numRef>
              <c:f>IPTT!$H$5:$I$5</c:f>
              <c:numCache>
                <c:formatCode>_(* #,##0_);_(* \(#,##0\);_(* "-"_);_(@_)</c:formatCode>
                <c:ptCount val="2"/>
                <c:pt idx="0">
                  <c:v>301450.59987999999</c:v>
                </c:pt>
                <c:pt idx="1">
                  <c:v>301411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3-4F45-A784-1A8813483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833213679"/>
        <c:axId val="1689271199"/>
      </c:barChart>
      <c:catAx>
        <c:axId val="183321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271199"/>
        <c:crosses val="autoZero"/>
        <c:auto val="1"/>
        <c:lblAlgn val="ctr"/>
        <c:lblOffset val="100"/>
        <c:noMultiLvlLbl val="0"/>
      </c:catAx>
      <c:valAx>
        <c:axId val="1689271199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83321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049186451314082E-2"/>
          <c:y val="0.83898144935272922"/>
          <c:w val="0.96451612903225803"/>
          <c:h val="0.15423888963032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0740740740740744E-2"/>
          <c:y val="0.29605263157894735"/>
          <c:w val="0.91851851851851851"/>
          <c:h val="0.40135930377123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IPTT!$C$9</c:f>
              <c:strCache>
                <c:ptCount val="1"/>
                <c:pt idx="0">
                  <c:v>1.1b.1: Number of farmers who  received  quality seeds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(IPTT!$H$2,IPTT!$I$2)</c:f>
              <c:strCache>
                <c:ptCount val="2"/>
                <c:pt idx="0">
                  <c:v>Planned Budget</c:v>
                </c:pt>
                <c:pt idx="1">
                  <c:v>Budget Expense</c:v>
                </c:pt>
              </c:strCache>
            </c:strRef>
          </c:cat>
          <c:val>
            <c:numRef>
              <c:f>(IPTT!$H$9,IPTT!$I$9)</c:f>
              <c:numCache>
                <c:formatCode>_(* #,##0_);_(* \(#,##0\);_(* "-"_);_(@_)</c:formatCode>
                <c:ptCount val="2"/>
                <c:pt idx="0">
                  <c:v>11072068</c:v>
                </c:pt>
                <c:pt idx="1">
                  <c:v>8876068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3-4D84-895E-F7F1D83B9C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818263391"/>
        <c:axId val="1689238559"/>
      </c:barChart>
      <c:catAx>
        <c:axId val="181826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238559"/>
        <c:crosses val="autoZero"/>
        <c:auto val="1"/>
        <c:lblAlgn val="ctr"/>
        <c:lblOffset val="100"/>
        <c:noMultiLvlLbl val="0"/>
      </c:catAx>
      <c:valAx>
        <c:axId val="1689238559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81826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4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4934706238643247E-2"/>
          <c:y val="0.24655905511811024"/>
          <c:w val="0.91520467836257313"/>
          <c:h val="0.41878687664041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IPTT!$H$2</c:f>
              <c:strCache>
                <c:ptCount val="1"/>
                <c:pt idx="0">
                  <c:v>Planned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(IPTT!$C$10,IPTT!$C$11,IPTT!$C$12)</c:f>
              <c:strCache>
                <c:ptCount val="3"/>
                <c:pt idx="0">
                  <c:v>1.1c.1: Number of BSPs and staff trained on farmer business curriculum</c:v>
                </c:pt>
                <c:pt idx="1">
                  <c:v>1.1c.2: Number of farmers trained on farming as a business by BSPs</c:v>
                </c:pt>
                <c:pt idx="2">
                  <c:v>1.1c.3: Number of youth trained on enterprise selection and management</c:v>
                </c:pt>
              </c:strCache>
            </c:strRef>
          </c:cat>
          <c:val>
            <c:numRef>
              <c:f>(IPTT!$H$10,IPTT!$H$11,IPTT!$H$12)</c:f>
              <c:numCache>
                <c:formatCode>_(* #,##0_);_(* \(#,##0\);_(* "-"_);_(@_)</c:formatCode>
                <c:ptCount val="3"/>
                <c:pt idx="0">
                  <c:v>2425000</c:v>
                </c:pt>
                <c:pt idx="1">
                  <c:v>1173000</c:v>
                </c:pt>
                <c:pt idx="2">
                  <c:v>6649250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8-436D-B57E-89D2ECADC1C2}"/>
            </c:ext>
          </c:extLst>
        </c:ser>
        <c:ser>
          <c:idx val="1"/>
          <c:order val="1"/>
          <c:tx>
            <c:strRef>
              <c:f>IPTT!$I$2</c:f>
              <c:strCache>
                <c:ptCount val="1"/>
                <c:pt idx="0">
                  <c:v>Budget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(IPTT!$C$10,IPTT!$C$11,IPTT!$C$12)</c:f>
              <c:strCache>
                <c:ptCount val="3"/>
                <c:pt idx="0">
                  <c:v>1.1c.1: Number of BSPs and staff trained on farmer business curriculum</c:v>
                </c:pt>
                <c:pt idx="1">
                  <c:v>1.1c.2: Number of farmers trained on farming as a business by BSPs</c:v>
                </c:pt>
                <c:pt idx="2">
                  <c:v>1.1c.3: Number of youth trained on enterprise selection and management</c:v>
                </c:pt>
              </c:strCache>
            </c:strRef>
          </c:cat>
          <c:val>
            <c:numRef>
              <c:f>(IPTT!$I$10,IPTT!$I$11,IPTT!$I$12)</c:f>
              <c:numCache>
                <c:formatCode>_(* #,##0_);_(* \(#,##0\);_(* "-"_);_(@_)</c:formatCode>
                <c:ptCount val="3"/>
                <c:pt idx="0">
                  <c:v>2078600</c:v>
                </c:pt>
                <c:pt idx="1">
                  <c:v>1434000</c:v>
                </c:pt>
                <c:pt idx="2">
                  <c:v>6626836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8-436D-B57E-89D2ECADC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869531343"/>
        <c:axId val="1562465519"/>
      </c:barChart>
      <c:catAx>
        <c:axId val="186953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562465519"/>
        <c:crosses val="autoZero"/>
        <c:auto val="1"/>
        <c:lblAlgn val="ctr"/>
        <c:lblOffset val="100"/>
        <c:noMultiLvlLbl val="0"/>
      </c:catAx>
      <c:valAx>
        <c:axId val="1562465519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86953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30781344639611"/>
          <c:y val="0.89244356955380566"/>
          <c:w val="0.39768660496385322"/>
          <c:h val="7.7233934467868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4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64995545281608E-2"/>
          <c:y val="0.18662718045200102"/>
          <c:w val="0.97171253822629966"/>
          <c:h val="0.306167282187071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IPTT!$H$2</c:f>
              <c:strCache>
                <c:ptCount val="1"/>
                <c:pt idx="0">
                  <c:v>Planned Budget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(IPTT!$C$15,IPTT!$C$16,IPTT!$C$17,IPTT!$C$18)</c:f>
              <c:strCache>
                <c:ptCount val="4"/>
                <c:pt idx="0">
                  <c:v>1.3.1: Number of households trained on improved chicken husbandry, feeding, housing, and disease control</c:v>
                </c:pt>
                <c:pt idx="1">
                  <c:v>1.3.2: Number of beneficiaries trained on poultry business management and record keeping</c:v>
                </c:pt>
                <c:pt idx="2">
                  <c:v>1.3.3: Number of VSLA groups supported by DDS-NK</c:v>
                </c:pt>
                <c:pt idx="3">
                  <c:v>1.3.4: Number of groups mentored on basic skills for making local skirts and beads for income generation</c:v>
                </c:pt>
              </c:strCache>
            </c:strRef>
          </c:cat>
          <c:val>
            <c:numRef>
              <c:f>(IPTT!$H$15,IPTT!$H$16,IPTT!$H$17,IPTT!$H$18)</c:f>
              <c:numCache>
                <c:formatCode>_(* #,##0_);_(* \(#,##0\);_(* "-"_);_(@_)</c:formatCode>
                <c:ptCount val="4"/>
                <c:pt idx="0">
                  <c:v>910000</c:v>
                </c:pt>
                <c:pt idx="1">
                  <c:v>107500</c:v>
                </c:pt>
                <c:pt idx="2">
                  <c:v>1506492</c:v>
                </c:pt>
                <c:pt idx="3">
                  <c:v>1679999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E-4473-8042-1B59C5F1CF39}"/>
            </c:ext>
          </c:extLst>
        </c:ser>
        <c:ser>
          <c:idx val="1"/>
          <c:order val="1"/>
          <c:tx>
            <c:strRef>
              <c:f>IPTT!$I$2</c:f>
              <c:strCache>
                <c:ptCount val="1"/>
                <c:pt idx="0">
                  <c:v>Budget Expense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(IPTT!$C$15,IPTT!$C$16,IPTT!$C$17,IPTT!$C$18)</c:f>
              <c:strCache>
                <c:ptCount val="4"/>
                <c:pt idx="0">
                  <c:v>1.3.1: Number of households trained on improved chicken husbandry, feeding, housing, and disease control</c:v>
                </c:pt>
                <c:pt idx="1">
                  <c:v>1.3.2: Number of beneficiaries trained on poultry business management and record keeping</c:v>
                </c:pt>
                <c:pt idx="2">
                  <c:v>1.3.3: Number of VSLA groups supported by DDS-NK</c:v>
                </c:pt>
                <c:pt idx="3">
                  <c:v>1.3.4: Number of groups mentored on basic skills for making local skirts and beads for income generation</c:v>
                </c:pt>
              </c:strCache>
            </c:strRef>
          </c:cat>
          <c:val>
            <c:numRef>
              <c:f>(IPTT!$I$15,IPTT!$I$16,IPTT!$I$17,IPTT!$I$18)</c:f>
              <c:numCache>
                <c:formatCode>_(* #,##0_);_(* \(#,##0\);_(* "-"_);_(@_)</c:formatCode>
                <c:ptCount val="4"/>
                <c:pt idx="0">
                  <c:v>569083</c:v>
                </c:pt>
                <c:pt idx="1">
                  <c:v>107500</c:v>
                </c:pt>
                <c:pt idx="2">
                  <c:v>27000</c:v>
                </c:pt>
                <c:pt idx="3">
                  <c:v>1339024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E-4473-8042-1B59C5F1C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570239"/>
        <c:axId val="1562517199"/>
      </c:barChart>
      <c:catAx>
        <c:axId val="176457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562517199"/>
        <c:crosses val="autoZero"/>
        <c:auto val="1"/>
        <c:lblAlgn val="ctr"/>
        <c:lblOffset val="100"/>
        <c:noMultiLvlLbl val="0"/>
      </c:catAx>
      <c:valAx>
        <c:axId val="1562517199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7645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87208938332251"/>
          <c:y val="0.88037980546549333"/>
          <c:w val="0.4442456255468066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5643153526970952E-2"/>
          <c:y val="0.15743440233236153"/>
          <c:w val="0.90871369294605808"/>
          <c:h val="0.50232639287436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IPTT!$C$20</c:f>
              <c:strCache>
                <c:ptCount val="1"/>
                <c:pt idx="0">
                  <c:v>1.4.2: Number of producers linked to markets, input suppliers, veterinary services, agro-dealers, and buyers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(IPTT!$H$2,IPTT!$I$2)</c:f>
              <c:strCache>
                <c:ptCount val="2"/>
                <c:pt idx="0">
                  <c:v>Planned Budget</c:v>
                </c:pt>
                <c:pt idx="1">
                  <c:v>Budget Expense</c:v>
                </c:pt>
              </c:strCache>
            </c:strRef>
          </c:cat>
          <c:val>
            <c:numRef>
              <c:f>(IPTT!$H$20,IPTT!$I$20)</c:f>
              <c:numCache>
                <c:formatCode>_(* #,##0_);_(* \(#,##0\);_(* "-"_);_(@_)</c:formatCode>
                <c:ptCount val="2"/>
                <c:pt idx="0">
                  <c:v>44000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6-413F-B82A-D1AE0EC40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901398015"/>
        <c:axId val="1689251615"/>
      </c:barChart>
      <c:catAx>
        <c:axId val="90139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689251615"/>
        <c:crosses val="autoZero"/>
        <c:auto val="1"/>
        <c:lblAlgn val="ctr"/>
        <c:lblOffset val="100"/>
        <c:noMultiLvlLbl val="0"/>
      </c:catAx>
      <c:valAx>
        <c:axId val="1689251615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90139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4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354564755838639E-2"/>
          <c:y val="0.11139240506329114"/>
          <c:w val="0.95329087048832273"/>
          <c:h val="0.454248978371374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IPTT!$H$2</c:f>
              <c:strCache>
                <c:ptCount val="1"/>
                <c:pt idx="0">
                  <c:v>Planned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(IPTT!$C$22,IPTT!$C$23,IPTT!$C$24,IPTT!$C$25)</c:f>
              <c:strCache>
                <c:ptCount val="4"/>
                <c:pt idx="0">
                  <c:v>2.1.1: Number of community members reached through dialogues and sensitization sessions on GEDSI and GBV prevention</c:v>
                </c:pt>
                <c:pt idx="1">
                  <c:v>2.1.2: Number of faith leaders trained and engaged to integrate GEDSI and GBV prevention messages in preaching and community interactions</c:v>
                </c:pt>
                <c:pt idx="2">
                  <c:v>2.1.3: Number of adolescents reached through awareness sessions on GEDSI principles and GBV prevention, including rights, reporting, and referral pathways</c:v>
                </c:pt>
                <c:pt idx="3">
                  <c:v>2.1.4: Number of community members reached through GEDSI and GBV awareness dialogues conducted during market days</c:v>
                </c:pt>
              </c:strCache>
            </c:strRef>
          </c:cat>
          <c:val>
            <c:numRef>
              <c:f>(IPTT!$H$22,IPTT!$H$23,IPTT!$H$24,IPTT!$H$25)</c:f>
              <c:numCache>
                <c:formatCode>_(* #,##0_);_(* \(#,##0\);_(* "-"_);_(@_)</c:formatCode>
                <c:ptCount val="4"/>
                <c:pt idx="0">
                  <c:v>990500</c:v>
                </c:pt>
                <c:pt idx="1">
                  <c:v>850000</c:v>
                </c:pt>
                <c:pt idx="2">
                  <c:v>588500</c:v>
                </c:pt>
                <c:pt idx="3">
                  <c:v>372500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3-45CB-9858-B346B9C7CDB0}"/>
            </c:ext>
          </c:extLst>
        </c:ser>
        <c:ser>
          <c:idx val="1"/>
          <c:order val="1"/>
          <c:tx>
            <c:strRef>
              <c:f>IPTT!$I$2</c:f>
              <c:strCache>
                <c:ptCount val="1"/>
                <c:pt idx="0">
                  <c:v>Budget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(IPTT!$C$22,IPTT!$C$23,IPTT!$C$24,IPTT!$C$25)</c:f>
              <c:strCache>
                <c:ptCount val="4"/>
                <c:pt idx="0">
                  <c:v>2.1.1: Number of community members reached through dialogues and sensitization sessions on GEDSI and GBV prevention</c:v>
                </c:pt>
                <c:pt idx="1">
                  <c:v>2.1.2: Number of faith leaders trained and engaged to integrate GEDSI and GBV prevention messages in preaching and community interactions</c:v>
                </c:pt>
                <c:pt idx="2">
                  <c:v>2.1.3: Number of adolescents reached through awareness sessions on GEDSI principles and GBV prevention, including rights, reporting, and referral pathways</c:v>
                </c:pt>
                <c:pt idx="3">
                  <c:v>2.1.4: Number of community members reached through GEDSI and GBV awareness dialogues conducted during market days</c:v>
                </c:pt>
              </c:strCache>
            </c:strRef>
          </c:cat>
          <c:val>
            <c:numRef>
              <c:f>(IPTT!$I$22,IPTT!$I$23,IPTT!$I$24,IPTT!$I$25)</c:f>
              <c:numCache>
                <c:formatCode>_(* #,##0_);_(* \(#,##0\);_(* "-"_);_(@_)</c:formatCode>
                <c:ptCount val="4"/>
                <c:pt idx="0">
                  <c:v>833700</c:v>
                </c:pt>
                <c:pt idx="1">
                  <c:v>680000</c:v>
                </c:pt>
                <c:pt idx="2">
                  <c:v>402000</c:v>
                </c:pt>
                <c:pt idx="3">
                  <c:v>339500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3-45CB-9858-B346B9C7CD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766303919"/>
        <c:axId val="1562530255"/>
      </c:barChart>
      <c:catAx>
        <c:axId val="176630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562530255"/>
        <c:crosses val="autoZero"/>
        <c:auto val="1"/>
        <c:lblAlgn val="ctr"/>
        <c:lblOffset val="100"/>
        <c:noMultiLvlLbl val="0"/>
      </c:catAx>
      <c:valAx>
        <c:axId val="1562530255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76630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4540364097264"/>
          <c:y val="0.9048516755173045"/>
          <c:w val="0.29990919271805466"/>
          <c:h val="8.3520417505951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847866972197962E-2"/>
          <c:y val="0.15294117647058825"/>
          <c:w val="0.93061224388430375"/>
          <c:h val="0.51303775174335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IPTT!$C$32</c:f>
              <c:strCache>
                <c:ptCount val="1"/>
                <c:pt idx="0">
                  <c:v>2.2.3: Number of women and girls supported to participate in Women’s Day and 16 Days of Activism events to practice leadership and advocate for gender equality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(IPTT!$H$2,IPTT!$I$2)</c:f>
              <c:strCache>
                <c:ptCount val="2"/>
                <c:pt idx="0">
                  <c:v>Planned Budget</c:v>
                </c:pt>
                <c:pt idx="1">
                  <c:v>Budget Expense</c:v>
                </c:pt>
              </c:strCache>
            </c:strRef>
          </c:cat>
          <c:val>
            <c:numRef>
              <c:f>(IPTT!$H$32,IPTT!$I$32)</c:f>
              <c:numCache>
                <c:formatCode>_(* #,##0_);_(* \(#,##0\);_(* "-"_);_(@_)</c:formatCode>
                <c:ptCount val="2"/>
                <c:pt idx="0">
                  <c:v>1060000</c:v>
                </c:pt>
                <c:pt idx="1">
                  <c:v>1049000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0-4D96-8293-355C52F1CA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1836691679"/>
        <c:axId val="1835904687"/>
      </c:barChart>
      <c:catAx>
        <c:axId val="18366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835904687"/>
        <c:crosses val="autoZero"/>
        <c:auto val="1"/>
        <c:lblAlgn val="ctr"/>
        <c:lblOffset val="100"/>
        <c:noMultiLvlLbl val="0"/>
      </c:catAx>
      <c:valAx>
        <c:axId val="1835904687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8366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152046106847709E-2"/>
          <c:y val="0.8492508276281765"/>
          <c:w val="0.96938768161202116"/>
          <c:h val="0.119267696245895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2297068295468467E-2"/>
          <c:y val="0.12952382571226417"/>
          <c:w val="0.93540586340906307"/>
          <c:h val="0.474613234382980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IPTT!$C$37</c:f>
              <c:strCache>
                <c:ptCount val="1"/>
                <c:pt idx="0">
                  <c:v>3.1.2: Number of Village Disaster Management (VDM) and regreening committees supported to develop disaster preparedness and regreening action plans</c:v>
                </c:pt>
              </c:strCache>
            </c:strRef>
          </c:tx>
          <c:spPr>
            <a:solidFill>
              <a:srgbClr val="0E2841">
                <a:lumMod val="90000"/>
                <a:lumOff val="1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F9ED5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F6-4CF7-B123-BE81C7059D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(IPTT!$H$2,IPTT!$I$2)</c:f>
              <c:strCache>
                <c:ptCount val="2"/>
                <c:pt idx="0">
                  <c:v>Planned Budget</c:v>
                </c:pt>
                <c:pt idx="1">
                  <c:v>Budget Expense</c:v>
                </c:pt>
              </c:strCache>
            </c:strRef>
          </c:cat>
          <c:val>
            <c:numRef>
              <c:f>(IPTT!$H$37,IPTT!$I$37)</c:f>
              <c:numCache>
                <c:formatCode>_(* #,##0_);_(* \(#,##0\);_(* "-"_);_(@_)</c:formatCode>
                <c:ptCount val="2"/>
                <c:pt idx="0">
                  <c:v>1040000</c:v>
                </c:pt>
                <c:pt idx="1">
                  <c:v>873210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6-4CF7-B123-BE81C7059D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2011016959"/>
        <c:axId val="1835959087"/>
      </c:barChart>
      <c:catAx>
        <c:axId val="201101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835959087"/>
        <c:crosses val="autoZero"/>
        <c:auto val="1"/>
        <c:lblAlgn val="ctr"/>
        <c:lblOffset val="100"/>
        <c:noMultiLvlLbl val="0"/>
      </c:catAx>
      <c:valAx>
        <c:axId val="1835959087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201101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4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5416662969508461E-2"/>
          <c:y val="0.13364780205139906"/>
          <c:w val="0.92916667406098308"/>
          <c:h val="0.543720931603053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IPTT!$C$40</c:f>
              <c:strCache>
                <c:ptCount val="1"/>
                <c:pt idx="0">
                  <c:v>3.2.1: Number of farmers supported to establish  and maintain nurseries for seedlings through farmer groups and youth clubs</c:v>
                </c:pt>
              </c:strCache>
            </c:strRef>
          </c:tx>
          <c:spPr>
            <a:solidFill>
              <a:srgbClr val="E9713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(IPTT!$H$2,IPTT!$I$2)</c:f>
              <c:strCache>
                <c:ptCount val="2"/>
                <c:pt idx="0">
                  <c:v>Planned Budget</c:v>
                </c:pt>
                <c:pt idx="1">
                  <c:v>Budget Expense</c:v>
                </c:pt>
              </c:strCache>
            </c:strRef>
          </c:cat>
          <c:val>
            <c:numRef>
              <c:f>(IPTT!$H$40,IPTT!$I$40)</c:f>
              <c:numCache>
                <c:formatCode>_(* #,##0_);_(* \(#,##0\);_(* "-"_);_(@_)</c:formatCode>
                <c:ptCount val="2"/>
                <c:pt idx="0">
                  <c:v>367736.5</c:v>
                </c:pt>
                <c:pt idx="1">
                  <c:v>232000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4-4474-93AF-84A4160E60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2144020191"/>
        <c:axId val="1835998799"/>
      </c:barChart>
      <c:catAx>
        <c:axId val="21440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835998799"/>
        <c:crosses val="autoZero"/>
        <c:auto val="1"/>
        <c:lblAlgn val="ctr"/>
        <c:lblOffset val="100"/>
        <c:noMultiLvlLbl val="0"/>
      </c:catAx>
      <c:valAx>
        <c:axId val="1835998799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214402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4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57178178353048E-2"/>
          <c:y val="0.12037037037037036"/>
          <c:w val="0.97685643643293907"/>
          <c:h val="0.61578849518810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IPTT!$H$2</c:f>
              <c:strCache>
                <c:ptCount val="1"/>
                <c:pt idx="0">
                  <c:v>Planned Budget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(IPTT!$C$46,IPTT!$C$47,IPTT!$C$48)</c:f>
              <c:strCache>
                <c:ptCount val="3"/>
                <c:pt idx="0">
                  <c:v>4.1.1: Number of technical monthly monitorings conducted</c:v>
                </c:pt>
                <c:pt idx="1">
                  <c:v>4.1.2: Number of quaterly Joint district monitoring with the sectorial technical personnel conducted</c:v>
                </c:pt>
                <c:pt idx="2">
                  <c:v>4.1.3 Number of people participating during quarterly implementation review meetings</c:v>
                </c:pt>
              </c:strCache>
            </c:strRef>
          </c:cat>
          <c:val>
            <c:numRef>
              <c:f>(IPTT!$H$46,IPTT!$H$47,IPTT!$H$48)</c:f>
              <c:numCache>
                <c:formatCode>_(* #,##0_);_(* \(#,##0\);_(* "-"_);_(@_)</c:formatCode>
                <c:ptCount val="3"/>
                <c:pt idx="0">
                  <c:v>288000</c:v>
                </c:pt>
                <c:pt idx="1">
                  <c:v>1212375</c:v>
                </c:pt>
                <c:pt idx="2">
                  <c:v>2172000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2-442D-AF43-B0F9213051FD}"/>
            </c:ext>
          </c:extLst>
        </c:ser>
        <c:ser>
          <c:idx val="1"/>
          <c:order val="1"/>
          <c:tx>
            <c:strRef>
              <c:f>IPTT!$I$2</c:f>
              <c:strCache>
                <c:ptCount val="1"/>
                <c:pt idx="0">
                  <c:v>Budget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(IPTT!$C$46,IPTT!$C$47,IPTT!$C$48)</c:f>
              <c:strCache>
                <c:ptCount val="3"/>
                <c:pt idx="0">
                  <c:v>4.1.1: Number of technical monthly monitorings conducted</c:v>
                </c:pt>
                <c:pt idx="1">
                  <c:v>4.1.2: Number of quaterly Joint district monitoring with the sectorial technical personnel conducted</c:v>
                </c:pt>
                <c:pt idx="2">
                  <c:v>4.1.3 Number of people participating during quarterly implementation review meetings</c:v>
                </c:pt>
              </c:strCache>
            </c:strRef>
          </c:cat>
          <c:val>
            <c:numRef>
              <c:f>(IPTT!$I$46,IPTT!$I$47,IPTT!$I$48)</c:f>
              <c:numCache>
                <c:formatCode>_(* #,##0_);_(* \(#,##0\);_(* "-"_);_(@_)</c:formatCode>
                <c:ptCount val="3"/>
                <c:pt idx="0">
                  <c:v>244400</c:v>
                </c:pt>
                <c:pt idx="1">
                  <c:v>0</c:v>
                </c:pt>
                <c:pt idx="2">
                  <c:v>2463500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2-442D-AF43-B0F9213051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0"/>
        <c:overlap val="-27"/>
        <c:axId val="65247039"/>
        <c:axId val="63945503"/>
      </c:barChart>
      <c:catAx>
        <c:axId val="6524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63945503"/>
        <c:crosses val="autoZero"/>
        <c:auto val="1"/>
        <c:lblAlgn val="ctr"/>
        <c:lblOffset val="100"/>
        <c:noMultiLvlLbl val="0"/>
      </c:catAx>
      <c:valAx>
        <c:axId val="63945503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6524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7132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  <c:userShapes r:id="rId4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288078716187875E-2"/>
          <c:y val="3.7536866495179372E-2"/>
          <c:w val="0.92542372881355928"/>
          <c:h val="0.4950705979270839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IPTT!$C$5</c:f>
              <c:strCache>
                <c:ptCount val="1"/>
                <c:pt idx="0">
                  <c:v>1.1.1: Number of farmers trained on Zai pits and moisture conservation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(IPTT!$U$5,IPTT!$V$5)</c:f>
              <c:numCache>
                <c:formatCode>_(* #,##0_);_(* \(#,##0\);_(* "-"_);_(@_)</c:formatCode>
                <c:ptCount val="2"/>
                <c:pt idx="0">
                  <c:v>394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A-4406-8FB7-F14A5792860D}"/>
            </c:ext>
          </c:extLst>
        </c:ser>
        <c:ser>
          <c:idx val="2"/>
          <c:order val="1"/>
          <c:tx>
            <c:strRef>
              <c:f>IPTT!$C$6</c:f>
              <c:strCache>
                <c:ptCount val="1"/>
                <c:pt idx="0">
                  <c:v>1.1.2: Number of Zai pit demonstration plots established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(IPTT!$U$6,IPTT!$V$6)</c:f>
              <c:numCache>
                <c:formatCode>_(* #,##0_);_(* \(#,##0\);_(* "-"_);_(@_)</c:formatCode>
                <c:ptCount val="2"/>
                <c:pt idx="0">
                  <c:v>394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A-4406-8FB7-F14A5792860D}"/>
            </c:ext>
          </c:extLst>
        </c:ser>
        <c:ser>
          <c:idx val="3"/>
          <c:order val="2"/>
          <c:tx>
            <c:strRef>
              <c:f>IPTT!$C$7</c:f>
              <c:strCache>
                <c:ptCount val="1"/>
                <c:pt idx="0">
                  <c:v>1.1.3: Number of farmers who have established climate-smart vegetable gardens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(IPTT!$U$7,IPTT!$V$7)</c:f>
              <c:numCache>
                <c:formatCode>_(* #,##0_);_(* \(#,##0\);_(* "-"_);_(@_)</c:formatCode>
                <c:ptCount val="2"/>
                <c:pt idx="0">
                  <c:v>394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CA-4406-8FB7-F14A5792860D}"/>
            </c:ext>
          </c:extLst>
        </c:ser>
        <c:ser>
          <c:idx val="0"/>
          <c:order val="3"/>
          <c:tx>
            <c:strRef>
              <c:f>IPTT!$C$8</c:f>
              <c:strCache>
                <c:ptCount val="1"/>
                <c:pt idx="0">
                  <c:v>1.1.4: Number of farmers trained on the construction and use of water harvesting and irrigation systems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(IPTT!$U$8,IPTT!$V$8)</c:f>
              <c:numCache>
                <c:formatCode>_(* #,##0_);_(* \(#,##0\);_(* "-"_);_(@_)</c:formatCode>
                <c:ptCount val="2"/>
                <c:pt idx="0">
                  <c:v>394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CA-4406-8FB7-F14A579286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8"/>
        <c:axId val="199844479"/>
        <c:axId val="203735711"/>
      </c:barChart>
      <c:catAx>
        <c:axId val="19984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735711"/>
        <c:crosses val="autoZero"/>
        <c:auto val="1"/>
        <c:lblAlgn val="ctr"/>
        <c:lblOffset val="100"/>
        <c:noMultiLvlLbl val="0"/>
      </c:catAx>
      <c:valAx>
        <c:axId val="203735711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99844479"/>
        <c:crosses val="autoZero"/>
        <c:crossBetween val="between"/>
      </c:valAx>
      <c:spPr>
        <a:noFill/>
        <a:ln w="0">
          <a:solidFill>
            <a:srgbClr val="156082"/>
          </a:solidFill>
        </a:ln>
        <a:effectLst/>
      </c:spPr>
    </c:plotArea>
    <c:legend>
      <c:legendPos val="b"/>
      <c:layout>
        <c:manualLayout>
          <c:xMode val="edge"/>
          <c:yMode val="edge"/>
          <c:x val="1.0727919845932571E-2"/>
          <c:y val="0.63230223959231369"/>
          <c:w val="0.98308012968967118"/>
          <c:h val="0.367697760407686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222003929273084E-2"/>
          <c:y val="5.4320987654320987E-2"/>
          <c:w val="0.91355599214145378"/>
          <c:h val="0.575896568484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IPTT!$C$9</c:f>
              <c:strCache>
                <c:ptCount val="1"/>
                <c:pt idx="0">
                  <c:v>1.1b.1: Number of farmers who  received  quality seeds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IPTT!$U$9:$V$9</c:f>
              <c:numCache>
                <c:formatCode>_(* #,##0_);_(* \(#,##0\);_(* "-"_);_(@_)</c:formatCode>
                <c:ptCount val="2"/>
                <c:pt idx="0">
                  <c:v>394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9-4A80-9F46-F195E4F7B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6"/>
        <c:overlap val="-10"/>
        <c:axId val="303736319"/>
        <c:axId val="203752575"/>
      </c:barChart>
      <c:catAx>
        <c:axId val="30373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752575"/>
        <c:crosses val="autoZero"/>
        <c:auto val="1"/>
        <c:lblAlgn val="ctr"/>
        <c:lblOffset val="100"/>
        <c:noMultiLvlLbl val="0"/>
      </c:catAx>
      <c:valAx>
        <c:axId val="203752575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0373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4530420927E-2"/>
          <c:y val="0.78512297073976867"/>
          <c:w val="0.9"/>
          <c:h val="0.185247399630601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IPTT!$C$10</c:f>
              <c:strCache>
                <c:ptCount val="1"/>
                <c:pt idx="0">
                  <c:v>1.1c.1: Number of BSPs and staff trained on farmer business curriculum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IPTT!$U$10:$V$10</c:f>
              <c:numCache>
                <c:formatCode>_(* #,##0_);_(* \(#,##0\);_(* "-"_);_(@_)</c:formatCode>
                <c:ptCount val="2"/>
                <c:pt idx="0">
                  <c:v>20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2-4A97-A1EE-2EB1200A34A0}"/>
            </c:ext>
          </c:extLst>
        </c:ser>
        <c:ser>
          <c:idx val="1"/>
          <c:order val="1"/>
          <c:tx>
            <c:strRef>
              <c:f>IPTT!$C$11</c:f>
              <c:strCache>
                <c:ptCount val="1"/>
                <c:pt idx="0">
                  <c:v>1.1c.2: Number of farmers trained on farming as a business by BSPs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IPTT!$U$11:$V$11</c:f>
              <c:numCache>
                <c:formatCode>_(* #,##0_);_(* \(#,##0\);_(* "-"_);_(@_)</c:formatCode>
                <c:ptCount val="2"/>
                <c:pt idx="0">
                  <c:v>708</c:v>
                </c:pt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2-4A97-A1EE-2EB1200A34A0}"/>
            </c:ext>
          </c:extLst>
        </c:ser>
        <c:ser>
          <c:idx val="2"/>
          <c:order val="2"/>
          <c:tx>
            <c:strRef>
              <c:f>IPTT!$C$12</c:f>
              <c:strCache>
                <c:ptCount val="1"/>
                <c:pt idx="0">
                  <c:v>1.1c.3: Number of youth trained on enterprise selection and management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IPTT!$U$12:$V$12</c:f>
              <c:numCache>
                <c:formatCode>_(* #,##0_);_(* \(#,##0\);_(* "-"_);_(@_)</c:formatCode>
                <c:ptCount val="2"/>
                <c:pt idx="0">
                  <c:v>450</c:v>
                </c:pt>
                <c:pt idx="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B2-4A97-A1EE-2EB1200A3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5876543"/>
        <c:axId val="124321583"/>
      </c:barChart>
      <c:catAx>
        <c:axId val="32587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24321583"/>
        <c:crosses val="autoZero"/>
        <c:auto val="1"/>
        <c:lblAlgn val="ctr"/>
        <c:lblOffset val="100"/>
        <c:noMultiLvlLbl val="0"/>
      </c:catAx>
      <c:valAx>
        <c:axId val="124321583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2587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793103448275862E-2"/>
          <c:y val="5.0228310502283102E-2"/>
          <c:w val="0.92413793103448272"/>
          <c:h val="0.473773415309387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IPTT!$C$13</c:f>
              <c:strCache>
                <c:ptCount val="1"/>
                <c:pt idx="0">
                  <c:v>1.2.1: Number of farmers trained on improved drying, storage, and handling techniques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(IPTT!$U$13,IPTT!$V$13)</c:f>
              <c:numCache>
                <c:formatCode>_(* #,##0_);_(* \(#,##0\);_(* "-"_);_(@_)</c:formatCode>
                <c:ptCount val="2"/>
                <c:pt idx="0">
                  <c:v>608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B-4A02-80B5-43F20973EE0B}"/>
            </c:ext>
          </c:extLst>
        </c:ser>
        <c:ser>
          <c:idx val="1"/>
          <c:order val="1"/>
          <c:tx>
            <c:strRef>
              <c:f>IPTT!$C$14</c:f>
              <c:strCache>
                <c:ptCount val="1"/>
                <c:pt idx="0">
                  <c:v>1.2.2: Number of farmer groups trained on cereal, pulse, vegetable processing and food preservation for value addition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(IPTT!$U$14,IPTT!$V$14)</c:f>
              <c:numCache>
                <c:formatCode>_(* #,##0_);_(* \(#,##0\);_(* "-"_);_(@_)</c:formatCode>
                <c:ptCount val="2"/>
                <c:pt idx="0">
                  <c:v>608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B-4A02-80B5-43F20973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565359"/>
        <c:axId val="124310159"/>
      </c:barChart>
      <c:catAx>
        <c:axId val="36756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24310159"/>
        <c:crosses val="autoZero"/>
        <c:auto val="1"/>
        <c:lblAlgn val="ctr"/>
        <c:lblOffset val="100"/>
        <c:noMultiLvlLbl val="0"/>
      </c:catAx>
      <c:valAx>
        <c:axId val="124310159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6756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167254955199567E-2"/>
          <c:y val="0.64782943227986911"/>
          <c:w val="0.95021694270974766"/>
          <c:h val="0.288243627080861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1662269129287601E-2"/>
          <c:y val="1.4266788080061425E-2"/>
          <c:w val="0.94195250659630603"/>
          <c:h val="0.55022086524898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IPTT!$C$15</c:f>
              <c:strCache>
                <c:ptCount val="1"/>
                <c:pt idx="0">
                  <c:v>1.3.1: Number of households trained on improved chicken husbandry, feeding, housing, and disease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IPTT!$U$15:$V$15</c:f>
              <c:numCache>
                <c:formatCode>_(* #,##0_);_(* \(#,##0\);_(* "-"_);_(@_)</c:formatCode>
                <c:ptCount val="2"/>
                <c:pt idx="0">
                  <c:v>708</c:v>
                </c:pt>
                <c:pt idx="1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7-484B-94D1-C43ADF24B550}"/>
            </c:ext>
          </c:extLst>
        </c:ser>
        <c:ser>
          <c:idx val="1"/>
          <c:order val="1"/>
          <c:tx>
            <c:strRef>
              <c:f>IPTT!$C$16</c:f>
              <c:strCache>
                <c:ptCount val="1"/>
                <c:pt idx="0">
                  <c:v>1.3.2: Number of beneficiaries trained on poultry business management and record keeping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IPTT!$U$16:$V$16</c:f>
              <c:numCache>
                <c:formatCode>_(* #,##0_);_(* \(#,##0\);_(* "-"_);_(@_)</c:formatCode>
                <c:ptCount val="2"/>
                <c:pt idx="0">
                  <c:v>60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7-484B-94D1-C43ADF24B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801263"/>
        <c:axId val="20367913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IPTT!$C$17</c15:sqref>
                        </c15:formulaRef>
                      </c:ext>
                    </c:extLst>
                    <c:strCache>
                      <c:ptCount val="1"/>
                      <c:pt idx="0">
                        <c:v>1.3.3: Number of VSLA groups supported by DDS-NK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5B67-484B-94D1-C43ADF24B55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en-UG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IPTT!$U$2:$V$2</c15:sqref>
                        </c15:formulaRef>
                      </c:ext>
                    </c:extLst>
                    <c:strCache>
                      <c:ptCount val="2"/>
                      <c:pt idx="0">
                        <c:v> FY26 Target </c:v>
                      </c:pt>
                      <c:pt idx="1">
                        <c:v> FY26 Results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IPTT!$U$17:$V$17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2"/>
                      <c:pt idx="0">
                        <c:v>18</c:v>
                      </c:pt>
                      <c:pt idx="1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67-484B-94D1-C43ADF24B55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IPTT!$C$18</c15:sqref>
                        </c15:formulaRef>
                      </c:ext>
                    </c:extLst>
                    <c:strCache>
                      <c:ptCount val="1"/>
                      <c:pt idx="0">
                        <c:v>1.3.4: Number of groups mentored on basic skills for making local skirts and beads for income generation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en-UG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IPTT!$U$2:$V$2</c15:sqref>
                        </c15:formulaRef>
                      </c:ext>
                    </c:extLst>
                    <c:strCache>
                      <c:ptCount val="2"/>
                      <c:pt idx="0">
                        <c:v> FY26 Target </c:v>
                      </c:pt>
                      <c:pt idx="1">
                        <c:v> FY26 Results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IPTT!$U$18:$V$18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2"/>
                      <c:pt idx="0">
                        <c:v>18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67-484B-94D1-C43ADF24B550}"/>
                  </c:ext>
                </c:extLst>
              </c15:ser>
            </c15:filteredBarSeries>
          </c:ext>
        </c:extLst>
      </c:barChart>
      <c:catAx>
        <c:axId val="30380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679135"/>
        <c:crosses val="autoZero"/>
        <c:auto val="1"/>
        <c:lblAlgn val="ctr"/>
        <c:lblOffset val="100"/>
        <c:noMultiLvlLbl val="0"/>
      </c:catAx>
      <c:valAx>
        <c:axId val="203679135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0380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221074938192093E-2"/>
          <c:y val="0.65743889156712554"/>
          <c:w val="0.97091932769617517"/>
          <c:h val="0.30571285732140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3222003929273084E-2"/>
          <c:y val="5.2009456264775412E-2"/>
          <c:w val="0.91355599214145378"/>
          <c:h val="0.4929379572234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IPTT!$C$17</c:f>
              <c:strCache>
                <c:ptCount val="1"/>
                <c:pt idx="0">
                  <c:v>1.3.3: Number of VSLA groups supported by DDS-NK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(IPTT!$U$17,IPTT!$V$17)</c:f>
              <c:numCache>
                <c:formatCode>_(* #,##0_);_(* \(#,##0\);_(* "-"_);_(@_)</c:formatCode>
                <c:ptCount val="2"/>
                <c:pt idx="0">
                  <c:v>18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7-44DA-84DC-A0FC2C60F5E5}"/>
            </c:ext>
          </c:extLst>
        </c:ser>
        <c:ser>
          <c:idx val="1"/>
          <c:order val="1"/>
          <c:tx>
            <c:strRef>
              <c:f>IPTT!$C$18</c:f>
              <c:strCache>
                <c:ptCount val="1"/>
                <c:pt idx="0">
                  <c:v>1.3.4: Number of groups mentored on basic skills for making local skirts and beads for income generation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(IPTT!$U$18,IPTT!$V$18)</c:f>
              <c:numCache>
                <c:formatCode>_(* #,##0_);_(* \(#,##0\);_(* "-"_);_(@_)</c:formatCode>
                <c:ptCount val="2"/>
                <c:pt idx="0">
                  <c:v>18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27-44DA-84DC-A0FC2C60F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816575"/>
        <c:axId val="203774335"/>
      </c:barChart>
      <c:catAx>
        <c:axId val="30381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774335"/>
        <c:crosses val="autoZero"/>
        <c:auto val="1"/>
        <c:lblAlgn val="ctr"/>
        <c:lblOffset val="100"/>
        <c:noMultiLvlLbl val="0"/>
      </c:catAx>
      <c:valAx>
        <c:axId val="203774335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0381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092508082855069E-2"/>
          <c:y val="0.67789430576497089"/>
          <c:w val="0.95981498383428987"/>
          <c:h val="0.27009623797025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2496307237813882E-2"/>
          <c:y val="5.6847545219638244E-2"/>
          <c:w val="0.93500738552437224"/>
          <c:h val="0.518670573155099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IPTT!$C$19</c:f>
              <c:strCache>
                <c:ptCount val="1"/>
                <c:pt idx="0">
                  <c:v>1.4.1: Number of farmers participating in market exposure visits and buyer-seller meetings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(IPTT!$U$19,IPTT!$V$19)</c:f>
              <c:numCache>
                <c:formatCode>_(* #,##0_);_(* \(#,##0\);_(* "-"_);_(@_)</c:formatCode>
                <c:ptCount val="2"/>
                <c:pt idx="0">
                  <c:v>18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1-4DB5-B098-9C79D0FC79A3}"/>
            </c:ext>
          </c:extLst>
        </c:ser>
        <c:ser>
          <c:idx val="1"/>
          <c:order val="1"/>
          <c:tx>
            <c:strRef>
              <c:f>IPTT!$C$20</c:f>
              <c:strCache>
                <c:ptCount val="1"/>
                <c:pt idx="0">
                  <c:v>1.4.2: Number of producers linked to markets, input suppliers, veterinary services, agro-dealers, and buyers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(IPTT!$U$20,IPTT!$V$20)</c:f>
              <c:numCache>
                <c:formatCode>_(* #,##0_);_(* \(#,##0\);_(* "-"_);_(@_)</c:formatCode>
                <c:ptCount val="2"/>
                <c:pt idx="0">
                  <c:v>20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1-4DB5-B098-9C79D0FC79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6283999"/>
        <c:axId val="203701983"/>
      </c:barChart>
      <c:catAx>
        <c:axId val="21628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701983"/>
        <c:crosses val="autoZero"/>
        <c:auto val="1"/>
        <c:lblAlgn val="ctr"/>
        <c:lblOffset val="100"/>
        <c:noMultiLvlLbl val="0"/>
      </c:catAx>
      <c:valAx>
        <c:axId val="203701983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21628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969469289012431E-2"/>
          <c:y val="0.68594884941707868"/>
          <c:w val="0.96710685167308308"/>
          <c:h val="0.283043398644936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9486404833836862E-2"/>
          <c:y val="1.0485702445089099E-2"/>
          <c:w val="0.89728096676737157"/>
          <c:h val="0.418476585163696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IPTT!$C$22</c:f>
              <c:strCache>
                <c:ptCount val="1"/>
                <c:pt idx="0">
                  <c:v>2.1.1: Number of community members reached through dialogues and sensitization sessions on GEDSI and GBV prevention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IPTT!$U$22:$V$22</c:f>
              <c:numCache>
                <c:formatCode>_(* #,##0_);_(* \(#,##0\);_(* "-"_);_(@_)</c:formatCode>
                <c:ptCount val="2"/>
                <c:pt idx="0">
                  <c:v>600</c:v>
                </c:pt>
                <c:pt idx="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3-49B6-A5C0-95515F8FE3C2}"/>
            </c:ext>
          </c:extLst>
        </c:ser>
        <c:ser>
          <c:idx val="1"/>
          <c:order val="1"/>
          <c:tx>
            <c:strRef>
              <c:f>IPTT!$C$23</c:f>
              <c:strCache>
                <c:ptCount val="1"/>
                <c:pt idx="0">
                  <c:v>2.1.2: Number of faith leaders trained and engaged to integrate GEDSI and GBV prevention messages in preaching and community interactions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IPTT!$U$23:$V$23</c:f>
              <c:numCache>
                <c:formatCode>_(* #,##0_);_(* \(#,##0\);_(* "-"_);_(@_)</c:formatCode>
                <c:ptCount val="2"/>
                <c:pt idx="0">
                  <c:v>188</c:v>
                </c:pt>
                <c:pt idx="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3-49B6-A5C0-95515F8FE3C2}"/>
            </c:ext>
          </c:extLst>
        </c:ser>
        <c:ser>
          <c:idx val="2"/>
          <c:order val="2"/>
          <c:tx>
            <c:strRef>
              <c:f>IPTT!$C$24</c:f>
              <c:strCache>
                <c:ptCount val="1"/>
                <c:pt idx="0">
                  <c:v>2.1.3: Number of adolescents reached through awareness sessions on GEDSI principles and GBV prevention, including rights, reporting, and referral pathways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IPTT!$U$24:$V$24</c:f>
              <c:numCache>
                <c:formatCode>_(* #,##0_);_(* \(#,##0\);_(* "-"_);_(@_)</c:formatCode>
                <c:ptCount val="2"/>
                <c:pt idx="0">
                  <c:v>600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E3-49B6-A5C0-95515F8FE3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669103"/>
        <c:axId val="203746591"/>
      </c:barChart>
      <c:catAx>
        <c:axId val="54866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746591"/>
        <c:crosses val="autoZero"/>
        <c:auto val="1"/>
        <c:lblAlgn val="ctr"/>
        <c:lblOffset val="100"/>
        <c:noMultiLvlLbl val="0"/>
      </c:catAx>
      <c:valAx>
        <c:axId val="203746591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54866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9163385826771628E-3"/>
          <c:y val="0.5396997895924166"/>
          <c:w val="0.96939493110236219"/>
          <c:h val="0.43345654107286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6900369003690037E-2"/>
          <c:y val="2.6385224274406333E-2"/>
          <c:w val="0.91881918819188191"/>
          <c:h val="0.44528369310036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IPTT!$C$25</c:f>
              <c:strCache>
                <c:ptCount val="1"/>
                <c:pt idx="0">
                  <c:v>2.1.4: Number of community members reached through GEDSI and GBV awareness dialogues conducted during market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(IPTT!$U$25,IPTT!$V$25)</c:f>
              <c:numCache>
                <c:formatCode>_(* #,##0_);_(* \(#,##0\);_(* "-"_);_(@_)</c:formatCode>
                <c:ptCount val="2"/>
                <c:pt idx="0">
                  <c:v>500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1-4F61-9E5D-9B777F0B04E3}"/>
            </c:ext>
          </c:extLst>
        </c:ser>
        <c:ser>
          <c:idx val="1"/>
          <c:order val="1"/>
          <c:tx>
            <c:strRef>
              <c:f>IPTT!$C$26</c:f>
              <c:strCache>
                <c:ptCount val="1"/>
                <c:pt idx="0">
                  <c:v>2.1.5: Number of community members reached through campaigns using meetings, IEC materials, and media on GEDSI and GBV prevention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(IPTT!$U$26,IPTT!$V$26)</c:f>
              <c:numCache>
                <c:formatCode>_(* #,##0_);_(* \(#,##0\);_(* "-"_);_(@_)</c:formatCode>
                <c:ptCount val="2"/>
                <c:pt idx="0">
                  <c:v>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1-4F61-9E5D-9B777F0B0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662767"/>
        <c:axId val="203686207"/>
      </c:barChart>
      <c:catAx>
        <c:axId val="54866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686207"/>
        <c:crosses val="autoZero"/>
        <c:auto val="1"/>
        <c:lblAlgn val="ctr"/>
        <c:lblOffset val="100"/>
        <c:noMultiLvlLbl val="0"/>
      </c:catAx>
      <c:valAx>
        <c:axId val="203686207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54866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72417700554957E-2"/>
          <c:y val="0.5831109633723226"/>
          <c:w val="0.97794491094517244"/>
          <c:h val="0.39578085720815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2258064516129031E-2"/>
          <c:y val="5.4054054054054057E-2"/>
          <c:w val="0.93548387096774188"/>
          <c:h val="0.432377952755905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IPTT!$C$27</c:f>
              <c:strCache>
                <c:ptCount val="1"/>
                <c:pt idx="0">
                  <c:v>2.1a.1: Number of out-of-school boys and girls reached through Community-Based Integrated Model (CBIM) activities using sports, agriculture, and other engagement methods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(IPTT!$U$27,IPTT!$V$27)</c:f>
              <c:numCache>
                <c:formatCode>_(* #,##0_);_(* \(#,##0\);_(* "-"_);_(@_)</c:formatCode>
                <c:ptCount val="2"/>
                <c:pt idx="0">
                  <c:v>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C-4EBD-B4E1-7A25499F01FF}"/>
            </c:ext>
          </c:extLst>
        </c:ser>
        <c:ser>
          <c:idx val="1"/>
          <c:order val="1"/>
          <c:tx>
            <c:strRef>
              <c:f>IPTT!$C$28</c:f>
              <c:strCache>
                <c:ptCount val="1"/>
                <c:pt idx="0">
                  <c:v>2.1a.2: Number of stakeholders engaged in joint planning and design of youth violence prevention interventions under CBIM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(IPTT!$U$28,IPTT!$V$28)</c:f>
              <c:numCache>
                <c:formatCode>_(* #,##0_);_(* \(#,##0\);_(* "-"_);_(@_)</c:formatCode>
                <c:ptCount val="2"/>
                <c:pt idx="0">
                  <c:v>600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C-4EBD-B4E1-7A25499F01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3812879"/>
        <c:axId val="124286223"/>
      </c:barChart>
      <c:catAx>
        <c:axId val="3038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24286223"/>
        <c:crosses val="autoZero"/>
        <c:auto val="1"/>
        <c:lblAlgn val="ctr"/>
        <c:lblOffset val="100"/>
        <c:noMultiLvlLbl val="0"/>
      </c:catAx>
      <c:valAx>
        <c:axId val="124286223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0381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889971598124991E-3"/>
          <c:y val="0.59554976781748437"/>
          <c:w val="0.97222435172143096"/>
          <c:h val="0.38970805572380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41206547098279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IPTT!$C$30</c:f>
              <c:strCache>
                <c:ptCount val="1"/>
                <c:pt idx="0">
                  <c:v>2.2.1: Number of women and girls trained on leadership and decision-making skills for household and community roles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IPTT!$U$30:$V$30</c:f>
              <c:numCache>
                <c:formatCode>_(* #,##0_);_(* \(#,##0\);_(* "-"_);_(@_)</c:formatCode>
                <c:ptCount val="2"/>
                <c:pt idx="0">
                  <c:v>50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2-4931-ADB9-38AD252F6C01}"/>
            </c:ext>
          </c:extLst>
        </c:ser>
        <c:ser>
          <c:idx val="1"/>
          <c:order val="1"/>
          <c:tx>
            <c:strRef>
              <c:f>IPTT!$C$31</c:f>
              <c:strCache>
                <c:ptCount val="1"/>
                <c:pt idx="0">
                  <c:v>2.2.2: Number of male champions recognized and promoted for supporting women’s leadership and equitable decision-making in households and communities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IPTT!$U$31:$V$31</c:f>
              <c:numCache>
                <c:formatCode>_(* #,##0_);_(* \(#,##0\);_(* "-"_);_(@_)</c:formatCode>
                <c:ptCount val="2"/>
                <c:pt idx="0">
                  <c:v>50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2-4931-ADB9-38AD252F6C01}"/>
            </c:ext>
          </c:extLst>
        </c:ser>
        <c:ser>
          <c:idx val="2"/>
          <c:order val="2"/>
          <c:tx>
            <c:strRef>
              <c:f>IPTT!$C$32</c:f>
              <c:strCache>
                <c:ptCount val="1"/>
                <c:pt idx="0">
                  <c:v>2.2.3: Number of women and girls supported to participate in Women’s Day and 16 Days of Activism events to practice leadership and advocate for gender equality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IPTT!$U$32:$V$32</c:f>
              <c:numCache>
                <c:formatCode>_(* #,##0_);_(* \(#,##0\);_(* "-"_);_(@_)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2-4931-ADB9-38AD252F6C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2168015"/>
        <c:axId val="203717759"/>
      </c:barChart>
      <c:catAx>
        <c:axId val="4621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717759"/>
        <c:crosses val="autoZero"/>
        <c:auto val="1"/>
        <c:lblAlgn val="ctr"/>
        <c:lblOffset val="100"/>
        <c:noMultiLvlLbl val="0"/>
      </c:catAx>
      <c:valAx>
        <c:axId val="203717759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4621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814304461942252E-2"/>
          <c:y val="0.5468722659667542"/>
          <c:w val="0.95966251093613297"/>
          <c:h val="0.41571340040828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2023289665211063E-2"/>
          <c:y val="3.7735849056603772E-2"/>
          <c:w val="0.93595342066957787"/>
          <c:h val="0.50272980028439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IPTT!$C$33</c:f>
              <c:strCache>
                <c:ptCount val="1"/>
                <c:pt idx="0">
                  <c:v>2.3.1: Number of beneficiaries referred to the health facility for SRH services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(IPTT!$U$33,IPTT!$V$33)</c:f>
              <c:numCache>
                <c:formatCode>_(* #,##0_);_(* \(#,##0\);_(* "-"_);_(@_)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A-4AE6-B9D8-EEE46FC3BBAC}"/>
            </c:ext>
          </c:extLst>
        </c:ser>
        <c:ser>
          <c:idx val="1"/>
          <c:order val="1"/>
          <c:tx>
            <c:strRef>
              <c:f>IPTT!$C$34</c:f>
              <c:strCache>
                <c:ptCount val="1"/>
                <c:pt idx="0">
                  <c:v>2.3.2: Number of PWDs linked to appropriate service providers to ensure access to assistive devices that enhance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(IPTT!$U$34,IPTT!$V$34)</c:f>
              <c:numCache>
                <c:formatCode>_(* #,##0_);_(* \(#,##0\);_(* "-"_);_(@_)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A-4AE6-B9D8-EEE46FC3BB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3770639"/>
        <c:axId val="203710687"/>
      </c:barChart>
      <c:catAx>
        <c:axId val="30377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710687"/>
        <c:crosses val="autoZero"/>
        <c:auto val="1"/>
        <c:lblAlgn val="ctr"/>
        <c:lblOffset val="100"/>
        <c:noMultiLvlLbl val="0"/>
      </c:catAx>
      <c:valAx>
        <c:axId val="203710687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0377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16066659789797E-2"/>
          <c:y val="0.67587410064307996"/>
          <c:w val="0.96076722942383308"/>
          <c:h val="0.29178088587983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499146057447044E-2"/>
          <c:y val="2.046924337503497E-2"/>
          <c:w val="0.92190329377841862"/>
          <c:h val="0.43311667859699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IPTT!$C$36</c:f>
              <c:strCache>
                <c:ptCount val="1"/>
                <c:pt idx="0">
                  <c:v>3.1.1: Number of Village Disaster Management (VDM) and regreening committees trained and supported to coordinate climate-resilient activities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IPTT!$U$36:$V$36</c:f>
              <c:numCache>
                <c:formatCode>_(* #,##0_);_(* \(#,##0\);_(* "-"_);_(@_)</c:formatCode>
                <c:ptCount val="2"/>
                <c:pt idx="0">
                  <c:v>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5-4A66-A560-B37F452D27D1}"/>
            </c:ext>
          </c:extLst>
        </c:ser>
        <c:ser>
          <c:idx val="1"/>
          <c:order val="1"/>
          <c:tx>
            <c:strRef>
              <c:f>IPTT!$C$37</c:f>
              <c:strCache>
                <c:ptCount val="1"/>
                <c:pt idx="0">
                  <c:v>3.1.2: Number of Village Disaster Management (VDM) and regreening committees supported to develop disaster preparedness and regreening action plans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IPTT!$U$37:$V$37</c:f>
              <c:numCache>
                <c:formatCode>_(* #,##0_);_(* \(#,##0\);_(* "-"_);_(@_)</c:formatCode>
                <c:ptCount val="2"/>
                <c:pt idx="0">
                  <c:v>600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5-4A66-A560-B37F452D27D1}"/>
            </c:ext>
          </c:extLst>
        </c:ser>
        <c:ser>
          <c:idx val="2"/>
          <c:order val="2"/>
          <c:tx>
            <c:strRef>
              <c:f>IPTT!$C$38</c:f>
              <c:strCache>
                <c:ptCount val="1"/>
                <c:pt idx="0">
                  <c:v>3.1.3: Number of committee members trained on disaster risk management (DRM), climate-smart natural resource management (NRM), early warning systems (EWS), and community advocacy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IPTT!$U$2:$V$2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IPTT!$U$38:$V$38</c:f>
              <c:numCache>
                <c:formatCode>_(* #,##0_);_(* \(#,##0\);_(* "-"_);_(@_)</c:formatCode>
                <c:ptCount val="2"/>
                <c:pt idx="0">
                  <c:v>500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C5-4A66-A560-B37F452D27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9884959"/>
        <c:axId val="124268271"/>
      </c:barChart>
      <c:catAx>
        <c:axId val="40988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24268271"/>
        <c:crosses val="autoZero"/>
        <c:auto val="1"/>
        <c:lblAlgn val="ctr"/>
        <c:lblOffset val="100"/>
        <c:noMultiLvlLbl val="0"/>
      </c:catAx>
      <c:valAx>
        <c:axId val="124268271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4098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67116445369475E-2"/>
          <c:y val="0.57465004374453188"/>
          <c:w val="0.96969124142549701"/>
          <c:h val="0.39294254884806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61578849518810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IPTT!$U$2</c:f>
              <c:strCache>
                <c:ptCount val="1"/>
                <c:pt idx="0">
                  <c:v> FY26 Target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IPTT!$C$41</c:f>
              <c:strCache>
                <c:ptCount val="1"/>
                <c:pt idx="0">
                  <c:v>3.2.2: Number of community members trained on sustainable land and forest management</c:v>
                </c:pt>
              </c:strCache>
            </c:strRef>
          </c:cat>
          <c:val>
            <c:numRef>
              <c:f>IPTT!$U$41</c:f>
              <c:numCache>
                <c:formatCode>_(* #,##0_);_(* \(#,##0\);_(* "-"_);_(@_)</c:formatCode>
                <c:ptCount val="1"/>
                <c:pt idx="0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F-4429-99D1-964FC41EF5B6}"/>
            </c:ext>
          </c:extLst>
        </c:ser>
        <c:ser>
          <c:idx val="1"/>
          <c:order val="1"/>
          <c:tx>
            <c:strRef>
              <c:f>IPTT!$V$2</c:f>
              <c:strCache>
                <c:ptCount val="1"/>
                <c:pt idx="0">
                  <c:v> FY26 Results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IPTT!$C$41</c:f>
              <c:strCache>
                <c:ptCount val="1"/>
                <c:pt idx="0">
                  <c:v>3.2.2: Number of community members trained on sustainable land and forest management</c:v>
                </c:pt>
              </c:strCache>
            </c:strRef>
          </c:cat>
          <c:val>
            <c:numRef>
              <c:f>IPTT!$V$41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F-4429-99D1-964FC41EF5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63"/>
        <c:axId val="873579103"/>
        <c:axId val="203778143"/>
      </c:barChart>
      <c:catAx>
        <c:axId val="8735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203778143"/>
        <c:crosses val="autoZero"/>
        <c:auto val="1"/>
        <c:lblAlgn val="ctr"/>
        <c:lblOffset val="100"/>
        <c:noMultiLvlLbl val="0"/>
      </c:catAx>
      <c:valAx>
        <c:axId val="203778143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87357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498214547215933"/>
          <c:y val="0.8681410963772046"/>
          <c:w val="0.44720309102993028"/>
          <c:h val="7.9602371556287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9076376554174071E-2"/>
          <c:y val="8.061320754716983E-2"/>
          <c:w val="0.92184724689165187"/>
          <c:h val="0.4366553285851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IPTT!$C$43</c:f>
              <c:strCache>
                <c:ptCount val="1"/>
                <c:pt idx="0">
                  <c:v>3.3.1: Number of households trained on briquette production and use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(IPTT!$U$43,IPTT!$V$43)</c:f>
              <c:numCache>
                <c:formatCode>_(* #,##0_);_(* \(#,##0\);_(* "-"_);_(@_)</c:formatCode>
                <c:ptCount val="2"/>
                <c:pt idx="0">
                  <c:v>394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A-4F82-99D7-23ACB6972CD8}"/>
            </c:ext>
          </c:extLst>
        </c:ser>
        <c:ser>
          <c:idx val="1"/>
          <c:order val="1"/>
          <c:tx>
            <c:strRef>
              <c:f>IPTT!$C$44</c:f>
              <c:strCache>
                <c:ptCount val="1"/>
                <c:pt idx="0">
                  <c:v>3.3.2: Number of community members reached through awareness campaigns on clean energy benefits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(IPTT!$U$2,IPTT!$V$2)</c:f>
              <c:strCache>
                <c:ptCount val="2"/>
                <c:pt idx="0">
                  <c:v> FY26 Target </c:v>
                </c:pt>
                <c:pt idx="1">
                  <c:v> FY26 Results </c:v>
                </c:pt>
              </c:strCache>
            </c:strRef>
          </c:cat>
          <c:val>
            <c:numRef>
              <c:f>(IPTT!$U$44,IPTT!$V$44)</c:f>
              <c:numCache>
                <c:formatCode>_(* #,##0_);_(* \(#,##0\);_(* "-"_);_(@_)</c:formatCode>
                <c:ptCount val="2"/>
                <c:pt idx="0">
                  <c:v>394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5A-4F82-99D7-23ACB6972C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5718847"/>
        <c:axId val="124344975"/>
      </c:barChart>
      <c:catAx>
        <c:axId val="8657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G"/>
          </a:p>
        </c:txPr>
        <c:crossAx val="124344975"/>
        <c:crosses val="autoZero"/>
        <c:auto val="1"/>
        <c:lblAlgn val="ctr"/>
        <c:lblOffset val="100"/>
        <c:noMultiLvlLbl val="0"/>
      </c:catAx>
      <c:valAx>
        <c:axId val="124344975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86571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806364092128933E-2"/>
          <c:y val="0.64035517636667727"/>
          <c:w val="0.97219440266595891"/>
          <c:h val="0.32690733467385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chart" Target="../charts/chart29.xml"/><Relationship Id="rId18" Type="http://schemas.openxmlformats.org/officeDocument/2006/relationships/chart" Target="../charts/chart34.xml"/><Relationship Id="rId3" Type="http://schemas.openxmlformats.org/officeDocument/2006/relationships/chart" Target="../charts/chart25.xml"/><Relationship Id="rId21" Type="http://schemas.openxmlformats.org/officeDocument/2006/relationships/chart" Target="../charts/chart37.xml"/><Relationship Id="rId7" Type="http://schemas.openxmlformats.org/officeDocument/2006/relationships/image" Target="../media/image5.png"/><Relationship Id="rId12" Type="http://schemas.openxmlformats.org/officeDocument/2006/relationships/chart" Target="../charts/chart28.xml"/><Relationship Id="rId17" Type="http://schemas.openxmlformats.org/officeDocument/2006/relationships/chart" Target="../charts/chart33.xml"/><Relationship Id="rId2" Type="http://schemas.openxmlformats.org/officeDocument/2006/relationships/chart" Target="../charts/chart24.xml"/><Relationship Id="rId16" Type="http://schemas.openxmlformats.org/officeDocument/2006/relationships/chart" Target="../charts/chart32.xml"/><Relationship Id="rId20" Type="http://schemas.openxmlformats.org/officeDocument/2006/relationships/chart" Target="../charts/chart36.xml"/><Relationship Id="rId1" Type="http://schemas.openxmlformats.org/officeDocument/2006/relationships/chart" Target="../charts/chart23.xml"/><Relationship Id="rId6" Type="http://schemas.openxmlformats.org/officeDocument/2006/relationships/image" Target="../media/image4.svg"/><Relationship Id="rId11" Type="http://schemas.openxmlformats.org/officeDocument/2006/relationships/image" Target="../media/image2.svg"/><Relationship Id="rId5" Type="http://schemas.openxmlformats.org/officeDocument/2006/relationships/image" Target="../media/image3.png"/><Relationship Id="rId15" Type="http://schemas.openxmlformats.org/officeDocument/2006/relationships/chart" Target="../charts/chart31.xml"/><Relationship Id="rId10" Type="http://schemas.openxmlformats.org/officeDocument/2006/relationships/image" Target="../media/image1.png"/><Relationship Id="rId19" Type="http://schemas.openxmlformats.org/officeDocument/2006/relationships/chart" Target="../charts/chart35.xml"/><Relationship Id="rId4" Type="http://schemas.openxmlformats.org/officeDocument/2006/relationships/chart" Target="../charts/chart26.xml"/><Relationship Id="rId9" Type="http://schemas.openxmlformats.org/officeDocument/2006/relationships/chart" Target="../charts/chart27.xml"/><Relationship Id="rId1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19050</xdr:colOff>
      <xdr:row>22</xdr:row>
      <xdr:rowOff>95249</xdr:rowOff>
    </xdr:from>
    <xdr:to>
      <xdr:col>21</xdr:col>
      <xdr:colOff>361950</xdr:colOff>
      <xdr:row>25</xdr:row>
      <xdr:rowOff>388</xdr:rowOff>
    </xdr:to>
    <xdr:pic>
      <xdr:nvPicPr>
        <xdr:cNvPr id="2" name="Graphic 10" descr="Coins with solid fill">
          <a:extLst>
            <a:ext uri="{FF2B5EF4-FFF2-40B4-BE49-F238E27FC236}">
              <a16:creationId xmlns:a16="http://schemas.microsoft.com/office/drawing/2014/main" id="{9164461A-2A6C-4675-B916-F0599B086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0" y="3575049"/>
          <a:ext cx="400050" cy="432189"/>
        </a:xfrm>
        <a:prstGeom prst="rect">
          <a:avLst/>
        </a:prstGeom>
      </xdr:spPr>
    </xdr:pic>
    <xdr:clientData/>
  </xdr:twoCellAnchor>
  <xdr:twoCellAnchor>
    <xdr:from>
      <xdr:col>0</xdr:col>
      <xdr:colOff>196850</xdr:colOff>
      <xdr:row>3</xdr:row>
      <xdr:rowOff>76200</xdr:rowOff>
    </xdr:from>
    <xdr:to>
      <xdr:col>9</xdr:col>
      <xdr:colOff>25400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FDD8A4-BAA4-4DC7-9534-105D81A34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50800</xdr:colOff>
      <xdr:row>3</xdr:row>
      <xdr:rowOff>76200</xdr:rowOff>
    </xdr:from>
    <xdr:to>
      <xdr:col>19</xdr:col>
      <xdr:colOff>330200</xdr:colOff>
      <xdr:row>20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F84638-FD96-485B-925C-D3EFA6D0D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109537</xdr:colOff>
      <xdr:row>3</xdr:row>
      <xdr:rowOff>46038</xdr:rowOff>
    </xdr:from>
    <xdr:to>
      <xdr:col>30</xdr:col>
      <xdr:colOff>420687</xdr:colOff>
      <xdr:row>20</xdr:row>
      <xdr:rowOff>26988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177D6C-DE0E-4E92-8537-0625892A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25</xdr:row>
      <xdr:rowOff>127000</xdr:rowOff>
    </xdr:from>
    <xdr:to>
      <xdr:col>12</xdr:col>
      <xdr:colOff>44450</xdr:colOff>
      <xdr:row>42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4A2EEC-8551-4D06-83B6-C2C1CF41A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101600</xdr:colOff>
      <xdr:row>25</xdr:row>
      <xdr:rowOff>127000</xdr:rowOff>
    </xdr:from>
    <xdr:to>
      <xdr:col>21</xdr:col>
      <xdr:colOff>311150</xdr:colOff>
      <xdr:row>42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63316C-883B-48AF-B3E0-833770207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79374</xdr:colOff>
      <xdr:row>25</xdr:row>
      <xdr:rowOff>126999</xdr:rowOff>
    </xdr:from>
    <xdr:to>
      <xdr:col>30</xdr:col>
      <xdr:colOff>388937</xdr:colOff>
      <xdr:row>42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ECA1DF-DBFE-45FE-84C3-C9614E678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87314</xdr:colOff>
      <xdr:row>48</xdr:row>
      <xdr:rowOff>103188</xdr:rowOff>
    </xdr:from>
    <xdr:to>
      <xdr:col>11</xdr:col>
      <xdr:colOff>55563</xdr:colOff>
      <xdr:row>68</xdr:row>
      <xdr:rowOff>23813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5FA336-54D8-4CEF-8F33-ACE0125F6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79375</xdr:colOff>
      <xdr:row>48</xdr:row>
      <xdr:rowOff>103187</xdr:rowOff>
    </xdr:from>
    <xdr:to>
      <xdr:col>21</xdr:col>
      <xdr:colOff>349251</xdr:colOff>
      <xdr:row>68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6BCB33-B293-4588-B82A-59247D192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79375</xdr:colOff>
      <xdr:row>48</xdr:row>
      <xdr:rowOff>111124</xdr:rowOff>
    </xdr:from>
    <xdr:to>
      <xdr:col>31</xdr:col>
      <xdr:colOff>365125</xdr:colOff>
      <xdr:row>68</xdr:row>
      <xdr:rowOff>15874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828044-8398-4A72-9C04-1D9787509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119063</xdr:colOff>
      <xdr:row>74</xdr:row>
      <xdr:rowOff>63500</xdr:rowOff>
    </xdr:from>
    <xdr:to>
      <xdr:col>9</xdr:col>
      <xdr:colOff>190501</xdr:colOff>
      <xdr:row>89</xdr:row>
      <xdr:rowOff>23813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DFA8FB3-F7BB-414E-AE4E-494DC0670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111124</xdr:colOff>
      <xdr:row>74</xdr:row>
      <xdr:rowOff>39686</xdr:rowOff>
    </xdr:from>
    <xdr:to>
      <xdr:col>21</xdr:col>
      <xdr:colOff>293687</xdr:colOff>
      <xdr:row>89</xdr:row>
      <xdr:rowOff>23813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3B2B19-3F8E-4410-B932-96778CADF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47624</xdr:colOff>
      <xdr:row>74</xdr:row>
      <xdr:rowOff>95249</xdr:rowOff>
    </xdr:from>
    <xdr:to>
      <xdr:col>32</xdr:col>
      <xdr:colOff>333375</xdr:colOff>
      <xdr:row>89</xdr:row>
      <xdr:rowOff>87313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15A3F02-2045-4121-8ED7-375942A09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</xdr:row>
      <xdr:rowOff>69850</xdr:rowOff>
    </xdr:from>
    <xdr:to>
      <xdr:col>5</xdr:col>
      <xdr:colOff>584200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06168-BDAA-4249-9030-C1949344F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30256</xdr:colOff>
      <xdr:row>3</xdr:row>
      <xdr:rowOff>69850</xdr:rowOff>
    </xdr:from>
    <xdr:to>
      <xdr:col>12</xdr:col>
      <xdr:colOff>290606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CBD42E-3F29-4C48-8542-F8287991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44450</xdr:colOff>
      <xdr:row>3</xdr:row>
      <xdr:rowOff>63500</xdr:rowOff>
    </xdr:from>
    <xdr:to>
      <xdr:col>23</xdr:col>
      <xdr:colOff>22411</xdr:colOff>
      <xdr:row>15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42CB65-6732-4F2D-9637-6D15ACF3C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19</xdr:row>
      <xdr:rowOff>76200</xdr:rowOff>
    </xdr:from>
    <xdr:to>
      <xdr:col>6</xdr:col>
      <xdr:colOff>31750</xdr:colOff>
      <xdr:row>33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BEF270-640A-40F0-B280-ED8EF57FC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82550</xdr:colOff>
      <xdr:row>19</xdr:row>
      <xdr:rowOff>69850</xdr:rowOff>
    </xdr:from>
    <xdr:to>
      <xdr:col>13</xdr:col>
      <xdr:colOff>44450</xdr:colOff>
      <xdr:row>33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3D3E75-3E69-4AD5-9F36-54EB5C94F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31750</xdr:colOff>
      <xdr:row>19</xdr:row>
      <xdr:rowOff>82550</xdr:rowOff>
    </xdr:from>
    <xdr:to>
      <xdr:col>23</xdr:col>
      <xdr:colOff>139700</xdr:colOff>
      <xdr:row>33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43A653-347A-43BB-AD39-518845425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44824</xdr:colOff>
      <xdr:row>37</xdr:row>
      <xdr:rowOff>29881</xdr:rowOff>
    </xdr:from>
    <xdr:to>
      <xdr:col>5</xdr:col>
      <xdr:colOff>448236</xdr:colOff>
      <xdr:row>53</xdr:row>
      <xdr:rowOff>59763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31BFC7-A7E4-4607-AB2C-0DCBCF1D0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7471</xdr:colOff>
      <xdr:row>37</xdr:row>
      <xdr:rowOff>82177</xdr:rowOff>
    </xdr:from>
    <xdr:to>
      <xdr:col>16</xdr:col>
      <xdr:colOff>7470</xdr:colOff>
      <xdr:row>53</xdr:row>
      <xdr:rowOff>44823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A503DF-CF4B-4053-BCAC-8C4857E13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7470</xdr:colOff>
      <xdr:row>37</xdr:row>
      <xdr:rowOff>74706</xdr:rowOff>
    </xdr:from>
    <xdr:to>
      <xdr:col>24</xdr:col>
      <xdr:colOff>44824</xdr:colOff>
      <xdr:row>53</xdr:row>
      <xdr:rowOff>59765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15C04C-EBB2-40CC-AA76-47B593537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59766</xdr:colOff>
      <xdr:row>56</xdr:row>
      <xdr:rowOff>44824</xdr:rowOff>
    </xdr:from>
    <xdr:to>
      <xdr:col>23</xdr:col>
      <xdr:colOff>134471</xdr:colOff>
      <xdr:row>75</xdr:row>
      <xdr:rowOff>37353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BF6A510-E57F-41D9-91AF-73BB4595D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0.37612</cdr:x>
      <cdr:y>0.06424</cdr:y>
    </cdr:from>
    <cdr:to>
      <cdr:x>0.58182</cdr:x>
      <cdr:y>0.20248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9B49482-E143-BCC1-3557-03EAC2A3148A}"/>
            </a:ext>
          </a:extLst>
        </cdr:cNvPr>
        <cdr:cNvSpPr txBox="1"/>
      </cdr:nvSpPr>
      <cdr:spPr>
        <a:xfrm xmlns:a="http://schemas.openxmlformats.org/drawingml/2006/main">
          <a:off x="1529976" y="118036"/>
          <a:ext cx="836706" cy="25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0.35642</cdr:x>
      <cdr:y>0.09616</cdr:y>
    </cdr:from>
    <cdr:to>
      <cdr:x>0.64371</cdr:x>
      <cdr:y>0.2344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2CC4266-EE06-A37A-0DE2-93BAD90808E3}"/>
            </a:ext>
          </a:extLst>
        </cdr:cNvPr>
        <cdr:cNvSpPr txBox="1"/>
      </cdr:nvSpPr>
      <cdr:spPr>
        <a:xfrm xmlns:a="http://schemas.openxmlformats.org/drawingml/2006/main">
          <a:off x="1038038" y="176679"/>
          <a:ext cx="836706" cy="25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2,196,000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0.00976</cdr:x>
      <cdr:y>0.02765</cdr:y>
    </cdr:from>
    <cdr:to>
      <cdr:x>0.17043</cdr:x>
      <cdr:y>0.16589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9B49482-E143-BCC1-3557-03EAC2A3148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36706" cy="25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346,400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0.38419</cdr:x>
      <cdr:y>0.03578</cdr:y>
    </cdr:from>
    <cdr:to>
      <cdr:x>0.54487</cdr:x>
      <cdr:y>0.17402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9B49482-E143-BCC1-3557-03EAC2A3148A}"/>
            </a:ext>
          </a:extLst>
        </cdr:cNvPr>
        <cdr:cNvSpPr txBox="1"/>
      </cdr:nvSpPr>
      <cdr:spPr>
        <a:xfrm xmlns:a="http://schemas.openxmlformats.org/drawingml/2006/main">
          <a:off x="2000623" y="65742"/>
          <a:ext cx="836706" cy="25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-261000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0.8508</cdr:x>
      <cdr:y>0.03171</cdr:y>
    </cdr:from>
    <cdr:to>
      <cdr:x>1</cdr:x>
      <cdr:y>0.1484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49B49482-E143-BCC1-3557-03EAC2A3148A}"/>
            </a:ext>
          </a:extLst>
        </cdr:cNvPr>
        <cdr:cNvSpPr txBox="1"/>
      </cdr:nvSpPr>
      <cdr:spPr>
        <a:xfrm xmlns:a="http://schemas.openxmlformats.org/drawingml/2006/main">
          <a:off x="4430431" y="58270"/>
          <a:ext cx="776941" cy="21440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22,414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0.01224</cdr:x>
      <cdr:y>0.02407</cdr:y>
    </cdr:from>
    <cdr:to>
      <cdr:x>0.19472</cdr:x>
      <cdr:y>0.10547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9B49482-E143-BCC1-3557-03EAC2A3148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57144" cy="171823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340,917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0.25711</cdr:x>
      <cdr:y>0.02761</cdr:y>
    </cdr:from>
    <cdr:to>
      <cdr:x>0.44679</cdr:x>
      <cdr:y>0.09485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49B49482-E143-BCC1-3557-03EAC2A3148A}"/>
            </a:ext>
          </a:extLst>
        </cdr:cNvPr>
        <cdr:cNvSpPr txBox="1"/>
      </cdr:nvSpPr>
      <cdr:spPr>
        <a:xfrm xmlns:a="http://schemas.openxmlformats.org/drawingml/2006/main">
          <a:off x="1066800" y="58271"/>
          <a:ext cx="787026" cy="1419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0.5884</cdr:x>
      <cdr:y>0.01699</cdr:y>
    </cdr:from>
    <cdr:to>
      <cdr:x>0.75288</cdr:x>
      <cdr:y>0.11255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49B49482-E143-BCC1-3557-03EAC2A3148A}"/>
            </a:ext>
          </a:extLst>
        </cdr:cNvPr>
        <cdr:cNvSpPr txBox="1"/>
      </cdr:nvSpPr>
      <cdr:spPr>
        <a:xfrm xmlns:a="http://schemas.openxmlformats.org/drawingml/2006/main">
          <a:off x="2441389" y="35859"/>
          <a:ext cx="682437" cy="20170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1,479,492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0.8375</cdr:x>
      <cdr:y>0.33552</cdr:y>
    </cdr:from>
    <cdr:to>
      <cdr:x>1</cdr:x>
      <cdr:y>0.43461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9B49482-E143-BCC1-3557-03EAC2A3148A}"/>
            </a:ext>
          </a:extLst>
        </cdr:cNvPr>
        <cdr:cNvSpPr txBox="1"/>
      </cdr:nvSpPr>
      <cdr:spPr>
        <a:xfrm xmlns:a="http://schemas.openxmlformats.org/drawingml/2006/main">
          <a:off x="3474944" y="708211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340,975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0.36058</cdr:x>
      <cdr:y>0.06575</cdr:y>
    </cdr:from>
    <cdr:to>
      <cdr:x>0.58075</cdr:x>
      <cdr:y>0.16367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1104153" y="140447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44,000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0.26778</cdr:y>
    </cdr:from>
    <cdr:to>
      <cdr:x>0.1283</cdr:x>
      <cdr:y>0.36541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0" y="573741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156,800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0.23712</cdr:x>
      <cdr:y>0.32706</cdr:y>
    </cdr:from>
    <cdr:to>
      <cdr:x>0.36541</cdr:x>
      <cdr:y>0.42469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1246094" y="700741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170,000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0.46457</cdr:x>
      <cdr:y>0.38982</cdr:y>
    </cdr:from>
    <cdr:to>
      <cdr:x>0.59286</cdr:x>
      <cdr:y>0.48745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2441388" y="835212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186,500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0.77731</cdr:x>
      <cdr:y>0.08298</cdr:y>
    </cdr:from>
    <cdr:to>
      <cdr:x>0.90561</cdr:x>
      <cdr:y>0.18061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4084918" y="177800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33,000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0.41336</cdr:x>
      <cdr:y>0.07654</cdr:y>
    </cdr:from>
    <cdr:to>
      <cdr:x>0.5808</cdr:x>
      <cdr:y>0.16296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1664447" y="185271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11,000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0.38912</cdr:x>
      <cdr:y>0.07873</cdr:y>
    </cdr:from>
    <cdr:to>
      <cdr:x>0.54746</cdr:x>
      <cdr:y>0.16762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1656977" y="185271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166,790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0.40956</cdr:x>
      <cdr:y>0.0717</cdr:y>
    </cdr:from>
    <cdr:to>
      <cdr:x>0.57546</cdr:x>
      <cdr:y>0.15975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1664447" y="170329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135,</a:t>
          </a:r>
          <a:r>
            <a:rPr lang="en-US" sz="700" b="1" kern="1200" baseline="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737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0.14299</cdr:x>
      <cdr:y>0.25805</cdr:y>
    </cdr:from>
    <cdr:to>
      <cdr:x>0.19681</cdr:x>
      <cdr:y>0.33193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1791447" y="730623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43,600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0.39761</cdr:x>
      <cdr:y>0.28443</cdr:y>
    </cdr:from>
    <cdr:to>
      <cdr:x>0.45143</cdr:x>
      <cdr:y>0.35831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4981388" y="805329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0.71246</cdr:x>
      <cdr:y>0.18945</cdr:y>
    </cdr:from>
    <cdr:to>
      <cdr:x>0.76628</cdr:x>
      <cdr:y>0.26332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5B109BF-B4D2-8EF1-24FD-CCF8F1769772}"/>
            </a:ext>
          </a:extLst>
        </cdr:cNvPr>
        <cdr:cNvSpPr txBox="1"/>
      </cdr:nvSpPr>
      <cdr:spPr>
        <a:xfrm xmlns:a="http://schemas.openxmlformats.org/drawingml/2006/main">
          <a:off x="8925859" y="536388"/>
          <a:ext cx="674221" cy="209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b="1" kern="1200">
              <a:solidFill>
                <a:srgbClr val="C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-291,500</a:t>
          </a:r>
          <a:endParaRPr lang="en-UG" sz="700" b="1" kern="1200">
            <a:solidFill>
              <a:srgbClr val="C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4</xdr:row>
      <xdr:rowOff>0</xdr:rowOff>
    </xdr:from>
    <xdr:to>
      <xdr:col>9</xdr:col>
      <xdr:colOff>361950</xdr:colOff>
      <xdr:row>21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BA350-90D5-4C70-93EF-12163FC12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44450</xdr:colOff>
      <xdr:row>4</xdr:row>
      <xdr:rowOff>6350</xdr:rowOff>
    </xdr:from>
    <xdr:to>
      <xdr:col>18</xdr:col>
      <xdr:colOff>38100</xdr:colOff>
      <xdr:row>21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8F891B-9077-44D0-A789-833CB661F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82550</xdr:colOff>
      <xdr:row>29</xdr:row>
      <xdr:rowOff>0</xdr:rowOff>
    </xdr:from>
    <xdr:to>
      <xdr:col>10</xdr:col>
      <xdr:colOff>165100</xdr:colOff>
      <xdr:row>47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CC76FB-4098-478F-879A-19120F40B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273050</xdr:colOff>
      <xdr:row>5</xdr:row>
      <xdr:rowOff>57150</xdr:rowOff>
    </xdr:from>
    <xdr:to>
      <xdr:col>30</xdr:col>
      <xdr:colOff>228600</xdr:colOff>
      <xdr:row>22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FCCAF-7A5E-45B5-840E-89D0C5A49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29</xdr:col>
      <xdr:colOff>412750</xdr:colOff>
      <xdr:row>0</xdr:row>
      <xdr:rowOff>12700</xdr:rowOff>
    </xdr:from>
    <xdr:to>
      <xdr:col>30</xdr:col>
      <xdr:colOff>196850</xdr:colOff>
      <xdr:row>2</xdr:row>
      <xdr:rowOff>38100</xdr:rowOff>
    </xdr:to>
    <xdr:pic>
      <xdr:nvPicPr>
        <xdr:cNvPr id="6" name="Graphic 5" descr="Fruit bowl with solid fill">
          <a:extLst>
            <a:ext uri="{FF2B5EF4-FFF2-40B4-BE49-F238E27FC236}">
              <a16:creationId xmlns:a16="http://schemas.microsoft.com/office/drawing/2014/main" id="{57FB5FE5-381C-4F0D-9947-6C9363B80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484100" y="127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17</xdr:col>
      <xdr:colOff>317499</xdr:colOff>
      <xdr:row>0</xdr:row>
      <xdr:rowOff>57150</xdr:rowOff>
    </xdr:from>
    <xdr:to>
      <xdr:col>18</xdr:col>
      <xdr:colOff>109536</xdr:colOff>
      <xdr:row>2</xdr:row>
      <xdr:rowOff>90487</xdr:rowOff>
    </xdr:to>
    <xdr:pic>
      <xdr:nvPicPr>
        <xdr:cNvPr id="7" name="Graphic 7" descr="Handwashing with solid fill">
          <a:extLst>
            <a:ext uri="{FF2B5EF4-FFF2-40B4-BE49-F238E27FC236}">
              <a16:creationId xmlns:a16="http://schemas.microsoft.com/office/drawing/2014/main" id="{AF0BC333-4613-4389-9931-9B3497FB7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448549" y="57150"/>
          <a:ext cx="401637" cy="401637"/>
        </a:xfrm>
        <a:prstGeom prst="rect">
          <a:avLst/>
        </a:prstGeom>
      </xdr:spPr>
    </xdr:pic>
    <xdr:clientData/>
  </xdr:twoCellAnchor>
  <xdr:twoCellAnchor>
    <xdr:from>
      <xdr:col>12</xdr:col>
      <xdr:colOff>120650</xdr:colOff>
      <xdr:row>28</xdr:row>
      <xdr:rowOff>133350</xdr:rowOff>
    </xdr:from>
    <xdr:to>
      <xdr:col>23</xdr:col>
      <xdr:colOff>247650</xdr:colOff>
      <xdr:row>47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6D1A57-D565-49D2-AFBF-7D13413D5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29</xdr:col>
      <xdr:colOff>355600</xdr:colOff>
      <xdr:row>25</xdr:row>
      <xdr:rowOff>44450</xdr:rowOff>
    </xdr:from>
    <xdr:to>
      <xdr:col>30</xdr:col>
      <xdr:colOff>186411</xdr:colOff>
      <xdr:row>27</xdr:row>
      <xdr:rowOff>63499</xdr:rowOff>
    </xdr:to>
    <xdr:pic>
      <xdr:nvPicPr>
        <xdr:cNvPr id="9" name="Graphic 10" descr="Coins with solid fill">
          <a:extLst>
            <a:ext uri="{FF2B5EF4-FFF2-40B4-BE49-F238E27FC236}">
              <a16:creationId xmlns:a16="http://schemas.microsoft.com/office/drawing/2014/main" id="{2751A505-A79F-453D-8DEE-60FF41812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2426950" y="3644900"/>
          <a:ext cx="440411" cy="387349"/>
        </a:xfrm>
        <a:prstGeom prst="rect">
          <a:avLst/>
        </a:prstGeom>
      </xdr:spPr>
    </xdr:pic>
    <xdr:clientData/>
  </xdr:twoCellAnchor>
  <xdr:twoCellAnchor>
    <xdr:from>
      <xdr:col>23</xdr:col>
      <xdr:colOff>330200</xdr:colOff>
      <xdr:row>28</xdr:row>
      <xdr:rowOff>127000</xdr:rowOff>
    </xdr:from>
    <xdr:to>
      <xdr:col>30</xdr:col>
      <xdr:colOff>361950</xdr:colOff>
      <xdr:row>47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EB1A41-1D66-4668-93CA-AF023158E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51</xdr:row>
      <xdr:rowOff>63500</xdr:rowOff>
    </xdr:from>
    <xdr:to>
      <xdr:col>10</xdr:col>
      <xdr:colOff>38100</xdr:colOff>
      <xdr:row>68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BE6636-5950-4F8C-AAD1-02F741B4D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101600</xdr:colOff>
      <xdr:row>52</xdr:row>
      <xdr:rowOff>25400</xdr:rowOff>
    </xdr:from>
    <xdr:to>
      <xdr:col>23</xdr:col>
      <xdr:colOff>44450</xdr:colOff>
      <xdr:row>68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679466F-CC8A-4344-8809-1377EA1D9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133350</xdr:colOff>
      <xdr:row>52</xdr:row>
      <xdr:rowOff>44450</xdr:rowOff>
    </xdr:from>
    <xdr:to>
      <xdr:col>30</xdr:col>
      <xdr:colOff>374650</xdr:colOff>
      <xdr:row>68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01370C3-F868-4434-9A38-32A830846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6350</xdr:colOff>
      <xdr:row>5</xdr:row>
      <xdr:rowOff>127000</xdr:rowOff>
    </xdr:from>
    <xdr:to>
      <xdr:col>42</xdr:col>
      <xdr:colOff>6350</xdr:colOff>
      <xdr:row>23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2C55A83-1F30-4DB2-9C44-04505D6C6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32</xdr:col>
      <xdr:colOff>69850</xdr:colOff>
      <xdr:row>28</xdr:row>
      <xdr:rowOff>88900</xdr:rowOff>
    </xdr:from>
    <xdr:to>
      <xdr:col>42</xdr:col>
      <xdr:colOff>273050</xdr:colOff>
      <xdr:row>47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B3D322D-7A60-4BFF-AD34-3F8AE909D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32</xdr:col>
      <xdr:colOff>127000</xdr:colOff>
      <xdr:row>52</xdr:row>
      <xdr:rowOff>69850</xdr:rowOff>
    </xdr:from>
    <xdr:to>
      <xdr:col>42</xdr:col>
      <xdr:colOff>120650</xdr:colOff>
      <xdr:row>68</xdr:row>
      <xdr:rowOff>88900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6C98885-9928-4DE1-8B64-FDDE62417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69850</xdr:colOff>
      <xdr:row>74</xdr:row>
      <xdr:rowOff>38100</xdr:rowOff>
    </xdr:from>
    <xdr:to>
      <xdr:col>10</xdr:col>
      <xdr:colOff>228600</xdr:colOff>
      <xdr:row>93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373EB96-D313-4C65-A13F-763F420A9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95250</xdr:colOff>
      <xdr:row>74</xdr:row>
      <xdr:rowOff>82550</xdr:rowOff>
    </xdr:from>
    <xdr:to>
      <xdr:col>23</xdr:col>
      <xdr:colOff>50800</xdr:colOff>
      <xdr:row>92</xdr:row>
      <xdr:rowOff>127000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6206476-1D72-401F-8533-F4FA5F555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23</xdr:col>
      <xdr:colOff>146050</xdr:colOff>
      <xdr:row>74</xdr:row>
      <xdr:rowOff>69850</xdr:rowOff>
    </xdr:from>
    <xdr:to>
      <xdr:col>30</xdr:col>
      <xdr:colOff>336550</xdr:colOff>
      <xdr:row>92</xdr:row>
      <xdr:rowOff>101600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7267F1D-76AA-4739-ADE3-56DED1911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1/OneDrive/Desktop/DDS-NK%20Projects/World%20Vision/Outcome%20and%20Output%20Tracking%20FY26/RFI_FY26/Budget/SHARED%20WITH%20MELO%20AND%20POS%20190326RFI_2026_BUDGET_DDS-NK%20LATEST%20MARCH%202026.xls" TargetMode="External"/><Relationship Id="rId2" Type="http://schemas.openxmlformats.org/officeDocument/2006/relationships/externalLinkPath" Target="file:///C:\Users\User1\OneDrive\Desktop\DDS-NK%20Projects\World%20Vision\Outcome%20and%20Output%20Tracking%20FY26\RFI_FY26\Budget\SHARED%20WITH%20MELO%20AND%20POS%20190326RFI_2026_BUDGET_DDS-NK%20LATEST%20MARCH%202026.xls" TargetMode="External"/><Relationship Id="rId1" Type="http://schemas.openxmlformats.org/officeDocument/2006/relationships/externalLinkPath" Target="/Users/User1/OneDrive/Desktop/DDS-NK%20Projects/World%20Vision/Outcome%20and%20Output%20Tracking%20FY26/RFI_FY26/Budget/SHARED%20WITH%20MELO%20AND%20POS%20190326RFI_2026_BUDGET_DDS-NK%20LATEST%20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dget"/>
      <sheetName val="Final BUDGET"/>
      <sheetName val="DIP"/>
    </sheetNames>
    <sheetDataSet>
      <sheetData sheetId="0" refreshError="1"/>
      <sheetData sheetId="1" refreshError="1">
        <row r="31">
          <cell r="H31">
            <v>1150601.7996400001</v>
          </cell>
          <cell r="L31">
            <v>301450.59987999999</v>
          </cell>
          <cell r="O31">
            <v>301450.59987999999</v>
          </cell>
          <cell r="R31">
            <v>301450.59987999999</v>
          </cell>
          <cell r="T31">
            <v>246250</v>
          </cell>
        </row>
        <row r="37">
          <cell r="H37">
            <v>13535160</v>
          </cell>
          <cell r="M37">
            <v>12682110</v>
          </cell>
          <cell r="N37">
            <v>284350</v>
          </cell>
          <cell r="O37">
            <v>284350</v>
          </cell>
          <cell r="P37">
            <v>284350</v>
          </cell>
        </row>
        <row r="42">
          <cell r="H42">
            <v>1061200</v>
          </cell>
          <cell r="M42">
            <v>284350</v>
          </cell>
          <cell r="N42">
            <v>284350</v>
          </cell>
          <cell r="O42">
            <v>246250</v>
          </cell>
          <cell r="P42">
            <v>246250</v>
          </cell>
        </row>
        <row r="46">
          <cell r="H46">
            <v>23393126</v>
          </cell>
          <cell r="R46">
            <v>22654376</v>
          </cell>
          <cell r="S46">
            <v>246250</v>
          </cell>
          <cell r="T46">
            <v>246250</v>
          </cell>
          <cell r="U46">
            <v>246250</v>
          </cell>
        </row>
        <row r="56">
          <cell r="H56">
            <v>11072068</v>
          </cell>
          <cell r="L56">
            <v>11072068</v>
          </cell>
        </row>
        <row r="63">
          <cell r="H63">
            <v>2425000</v>
          </cell>
          <cell r="L63">
            <v>2425000</v>
          </cell>
        </row>
        <row r="72">
          <cell r="H72">
            <v>5727000</v>
          </cell>
          <cell r="L72">
            <v>1173000</v>
          </cell>
          <cell r="M72">
            <v>1423000</v>
          </cell>
          <cell r="N72">
            <v>527000</v>
          </cell>
          <cell r="O72">
            <v>122000</v>
          </cell>
          <cell r="P72">
            <v>872000</v>
          </cell>
          <cell r="Q72">
            <v>122000</v>
          </cell>
          <cell r="R72">
            <v>122000</v>
          </cell>
          <cell r="S72">
            <v>622000</v>
          </cell>
          <cell r="T72">
            <v>122000</v>
          </cell>
          <cell r="U72">
            <v>622000</v>
          </cell>
        </row>
        <row r="78">
          <cell r="H78">
            <v>8000000</v>
          </cell>
          <cell r="L78">
            <v>6649250</v>
          </cell>
          <cell r="O78">
            <v>441250</v>
          </cell>
          <cell r="R78">
            <v>468250</v>
          </cell>
          <cell r="T78">
            <v>441250</v>
          </cell>
        </row>
        <row r="88">
          <cell r="H88">
            <v>3052000</v>
          </cell>
          <cell r="N88">
            <v>1179000</v>
          </cell>
          <cell r="P88">
            <v>640000</v>
          </cell>
          <cell r="R88">
            <v>640000</v>
          </cell>
          <cell r="T88">
            <v>593000</v>
          </cell>
        </row>
        <row r="93">
          <cell r="H93">
            <v>3015000</v>
          </cell>
          <cell r="O93">
            <v>405000</v>
          </cell>
          <cell r="P93">
            <v>405000</v>
          </cell>
          <cell r="Q93">
            <v>405000</v>
          </cell>
          <cell r="R93">
            <v>465000</v>
          </cell>
          <cell r="S93">
            <v>465000</v>
          </cell>
          <cell r="T93">
            <v>465000</v>
          </cell>
          <cell r="U93">
            <v>405000</v>
          </cell>
        </row>
        <row r="101">
          <cell r="H101">
            <v>3547000</v>
          </cell>
          <cell r="L101">
            <v>910000</v>
          </cell>
          <cell r="O101">
            <v>910000</v>
          </cell>
          <cell r="R101">
            <v>877000</v>
          </cell>
          <cell r="T101">
            <v>850000</v>
          </cell>
        </row>
        <row r="105">
          <cell r="H105">
            <v>220000</v>
          </cell>
          <cell r="L105">
            <v>107500</v>
          </cell>
          <cell r="O105">
            <v>37500</v>
          </cell>
          <cell r="R105">
            <v>37500</v>
          </cell>
          <cell r="T105">
            <v>37500</v>
          </cell>
        </row>
        <row r="109">
          <cell r="H109">
            <v>1614492</v>
          </cell>
          <cell r="L109">
            <v>1506492</v>
          </cell>
          <cell r="N109">
            <v>27000</v>
          </cell>
          <cell r="P109">
            <v>27000</v>
          </cell>
          <cell r="R109">
            <v>27000</v>
          </cell>
          <cell r="T109">
            <v>27000</v>
          </cell>
        </row>
        <row r="116">
          <cell r="H116">
            <v>1468200</v>
          </cell>
          <cell r="M116">
            <v>376800</v>
          </cell>
          <cell r="O116">
            <v>343800</v>
          </cell>
          <cell r="Q116">
            <v>376800</v>
          </cell>
          <cell r="S116">
            <v>343800</v>
          </cell>
          <cell r="U116">
            <v>27000</v>
          </cell>
        </row>
        <row r="120">
          <cell r="H120">
            <v>527000</v>
          </cell>
          <cell r="L120">
            <v>44000</v>
          </cell>
          <cell r="M120">
            <v>44000</v>
          </cell>
          <cell r="N120">
            <v>131000</v>
          </cell>
          <cell r="O120">
            <v>44000</v>
          </cell>
          <cell r="P120">
            <v>44000</v>
          </cell>
          <cell r="Q120">
            <v>44000</v>
          </cell>
          <cell r="R120">
            <v>44000</v>
          </cell>
          <cell r="S120">
            <v>44000</v>
          </cell>
          <cell r="T120">
            <v>44000</v>
          </cell>
          <cell r="U120">
            <v>44000</v>
          </cell>
        </row>
        <row r="131">
          <cell r="H131">
            <v>6730000</v>
          </cell>
          <cell r="L131">
            <v>990500</v>
          </cell>
          <cell r="M131">
            <v>480000</v>
          </cell>
          <cell r="N131">
            <v>480000</v>
          </cell>
          <cell r="O131">
            <v>990500</v>
          </cell>
          <cell r="P131">
            <v>480000</v>
          </cell>
          <cell r="Q131">
            <v>480000</v>
          </cell>
          <cell r="R131">
            <v>974000</v>
          </cell>
          <cell r="S131">
            <v>480000</v>
          </cell>
          <cell r="T131">
            <v>480000</v>
          </cell>
          <cell r="U131">
            <v>895000</v>
          </cell>
        </row>
        <row r="134">
          <cell r="H134">
            <v>8500000</v>
          </cell>
          <cell r="L134">
            <v>850000</v>
          </cell>
          <cell r="M134">
            <v>850000</v>
          </cell>
          <cell r="N134">
            <v>850000</v>
          </cell>
          <cell r="O134">
            <v>850000</v>
          </cell>
          <cell r="P134">
            <v>850000</v>
          </cell>
          <cell r="Q134">
            <v>850000</v>
          </cell>
          <cell r="R134">
            <v>850000</v>
          </cell>
          <cell r="S134">
            <v>850000</v>
          </cell>
          <cell r="T134">
            <v>850000</v>
          </cell>
          <cell r="U134">
            <v>850000</v>
          </cell>
        </row>
        <row r="141">
          <cell r="H141">
            <v>1967000</v>
          </cell>
          <cell r="L141">
            <v>588500</v>
          </cell>
          <cell r="O141">
            <v>588500</v>
          </cell>
          <cell r="R141">
            <v>395000</v>
          </cell>
          <cell r="T141">
            <v>395000</v>
          </cell>
        </row>
        <row r="146">
          <cell r="H146">
            <v>1370000</v>
          </cell>
          <cell r="L146">
            <v>372500</v>
          </cell>
          <cell r="O146">
            <v>372500</v>
          </cell>
          <cell r="R146">
            <v>312500</v>
          </cell>
          <cell r="U146">
            <v>312500</v>
          </cell>
        </row>
        <row r="150">
          <cell r="H150">
            <v>1120000</v>
          </cell>
          <cell r="O150">
            <v>560000</v>
          </cell>
          <cell r="T150">
            <v>560000</v>
          </cell>
        </row>
        <row r="155">
          <cell r="H155">
            <v>1100000</v>
          </cell>
          <cell r="M155">
            <v>288500</v>
          </cell>
          <cell r="P155">
            <v>261500</v>
          </cell>
          <cell r="R155">
            <v>288500</v>
          </cell>
          <cell r="T155">
            <v>261500</v>
          </cell>
        </row>
        <row r="161">
          <cell r="H161">
            <v>1811500</v>
          </cell>
          <cell r="M161">
            <v>503500</v>
          </cell>
          <cell r="O161">
            <v>400000</v>
          </cell>
          <cell r="Q161">
            <v>454000</v>
          </cell>
          <cell r="S161">
            <v>454000</v>
          </cell>
        </row>
        <row r="169">
          <cell r="H169">
            <v>3257000</v>
          </cell>
          <cell r="Q169">
            <v>1628500</v>
          </cell>
          <cell r="T169">
            <v>1628500</v>
          </cell>
        </row>
        <row r="176">
          <cell r="H176">
            <v>1193000</v>
          </cell>
          <cell r="N176">
            <v>305000</v>
          </cell>
          <cell r="Q176">
            <v>305000</v>
          </cell>
          <cell r="S176">
            <v>305000</v>
          </cell>
          <cell r="U176">
            <v>278000</v>
          </cell>
        </row>
        <row r="184">
          <cell r="H184">
            <v>1316200</v>
          </cell>
          <cell r="M184">
            <v>378100</v>
          </cell>
          <cell r="P184">
            <v>280000</v>
          </cell>
          <cell r="R184">
            <v>280000</v>
          </cell>
          <cell r="U184">
            <v>378100</v>
          </cell>
        </row>
        <row r="189">
          <cell r="H189">
            <v>2120000</v>
          </cell>
          <cell r="L189">
            <v>1060000</v>
          </cell>
          <cell r="T189">
            <v>1060000</v>
          </cell>
        </row>
        <row r="196">
          <cell r="H196">
            <v>6719996</v>
          </cell>
          <cell r="L196">
            <v>1679999</v>
          </cell>
          <cell r="O196">
            <v>1679999</v>
          </cell>
          <cell r="Q196">
            <v>1679999</v>
          </cell>
          <cell r="T196">
            <v>1679999</v>
          </cell>
        </row>
        <row r="201">
          <cell r="H201">
            <v>450000</v>
          </cell>
          <cell r="N201">
            <v>211500</v>
          </cell>
          <cell r="Q201">
            <v>238500</v>
          </cell>
        </row>
        <row r="204">
          <cell r="H204">
            <v>54000</v>
          </cell>
          <cell r="Q204">
            <v>54000</v>
          </cell>
        </row>
        <row r="213">
          <cell r="H213">
            <v>1240000</v>
          </cell>
          <cell r="M213">
            <v>355000</v>
          </cell>
          <cell r="P213">
            <v>295000</v>
          </cell>
          <cell r="R213">
            <v>295000</v>
          </cell>
          <cell r="T213">
            <v>295000</v>
          </cell>
        </row>
        <row r="224">
          <cell r="H224">
            <v>11000000</v>
          </cell>
          <cell r="L224">
            <v>1040000</v>
          </cell>
          <cell r="M224">
            <v>1040000</v>
          </cell>
          <cell r="N224">
            <v>1640000</v>
          </cell>
          <cell r="O224">
            <v>1040000</v>
          </cell>
          <cell r="P224">
            <v>1040000</v>
          </cell>
          <cell r="Q224">
            <v>1040000</v>
          </cell>
          <cell r="R224">
            <v>1040000</v>
          </cell>
          <cell r="S224">
            <v>1040000</v>
          </cell>
          <cell r="T224">
            <v>1040000</v>
          </cell>
          <cell r="U224">
            <v>1040000</v>
          </cell>
        </row>
        <row r="230">
          <cell r="H230">
            <v>2014000</v>
          </cell>
          <cell r="M230">
            <v>517000</v>
          </cell>
          <cell r="P230">
            <v>490000</v>
          </cell>
          <cell r="R230">
            <v>517000</v>
          </cell>
          <cell r="T230">
            <v>490000</v>
          </cell>
        </row>
        <row r="237">
          <cell r="H237">
            <v>2290000</v>
          </cell>
          <cell r="M237">
            <v>572500</v>
          </cell>
          <cell r="P237">
            <v>572500</v>
          </cell>
          <cell r="R237">
            <v>572500</v>
          </cell>
          <cell r="T237">
            <v>572500</v>
          </cell>
        </row>
        <row r="244">
          <cell r="H244">
            <v>1350946</v>
          </cell>
          <cell r="L244">
            <v>367736.5</v>
          </cell>
          <cell r="O244">
            <v>307736.5</v>
          </cell>
          <cell r="R244">
            <v>367736.5</v>
          </cell>
          <cell r="T244">
            <v>307736.5</v>
          </cell>
        </row>
        <row r="250">
          <cell r="H250">
            <v>1616080</v>
          </cell>
          <cell r="M250">
            <v>425080</v>
          </cell>
          <cell r="P250">
            <v>397000</v>
          </cell>
          <cell r="S250">
            <v>397000</v>
          </cell>
          <cell r="U250">
            <v>397000</v>
          </cell>
        </row>
        <row r="256">
          <cell r="H256">
            <v>1008000</v>
          </cell>
          <cell r="M256">
            <v>307000</v>
          </cell>
          <cell r="O256">
            <v>197000</v>
          </cell>
          <cell r="Q256">
            <v>197000</v>
          </cell>
          <cell r="S256">
            <v>307000</v>
          </cell>
        </row>
        <row r="263">
          <cell r="H263">
            <v>1075000</v>
          </cell>
          <cell r="M263">
            <v>290500</v>
          </cell>
          <cell r="P263">
            <v>247000</v>
          </cell>
          <cell r="R263">
            <v>290500</v>
          </cell>
          <cell r="U263">
            <v>247000</v>
          </cell>
        </row>
        <row r="267">
          <cell r="H267">
            <v>186000</v>
          </cell>
          <cell r="N267">
            <v>93000</v>
          </cell>
          <cell r="S267">
            <v>93000</v>
          </cell>
        </row>
        <row r="276">
          <cell r="H276">
            <v>11725000</v>
          </cell>
          <cell r="M276">
            <v>1431250</v>
          </cell>
          <cell r="O276">
            <v>7431250</v>
          </cell>
          <cell r="R276">
            <v>1431250</v>
          </cell>
          <cell r="U276">
            <v>1431250</v>
          </cell>
        </row>
        <row r="286">
          <cell r="H286">
            <v>2880000</v>
          </cell>
          <cell r="L286">
            <v>288000</v>
          </cell>
          <cell r="M286">
            <v>288000</v>
          </cell>
          <cell r="N286">
            <v>288000</v>
          </cell>
          <cell r="O286">
            <v>288000</v>
          </cell>
          <cell r="P286">
            <v>288000</v>
          </cell>
          <cell r="Q286">
            <v>288000</v>
          </cell>
          <cell r="R286">
            <v>288000</v>
          </cell>
          <cell r="S286">
            <v>288000</v>
          </cell>
          <cell r="T286">
            <v>288000</v>
          </cell>
          <cell r="U286">
            <v>288000</v>
          </cell>
        </row>
        <row r="296">
          <cell r="H296">
            <v>4849500</v>
          </cell>
          <cell r="L296">
            <v>1212375</v>
          </cell>
          <cell r="O296">
            <v>1212375</v>
          </cell>
          <cell r="R296">
            <v>1212375</v>
          </cell>
          <cell r="U296">
            <v>1212375</v>
          </cell>
        </row>
        <row r="302">
          <cell r="H302">
            <v>8688000</v>
          </cell>
          <cell r="L302">
            <v>2172000</v>
          </cell>
          <cell r="O302">
            <v>2172000</v>
          </cell>
          <cell r="R302">
            <v>2172000</v>
          </cell>
        </row>
        <row r="308">
          <cell r="H308">
            <v>1327500</v>
          </cell>
          <cell r="M308">
            <v>1327500</v>
          </cell>
        </row>
        <row r="315">
          <cell r="H315">
            <v>2126180</v>
          </cell>
          <cell r="L315">
            <v>531545</v>
          </cell>
          <cell r="O315">
            <v>531545</v>
          </cell>
          <cell r="R315">
            <v>531545</v>
          </cell>
          <cell r="U315">
            <v>531545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982F-111E-4BC2-84A9-C8F91F073F92}">
  <dimension ref="A1:X50"/>
  <sheetViews>
    <sheetView workbookViewId="0">
      <selection sqref="A1:X50"/>
    </sheetView>
  </sheetViews>
  <sheetFormatPr defaultRowHeight="14.5" x14ac:dyDescent="0.35"/>
  <sheetData>
    <row r="1" spans="1:24" x14ac:dyDescent="0.35">
      <c r="A1" s="1"/>
      <c r="B1" s="1"/>
      <c r="C1" s="1"/>
      <c r="D1" s="2" t="s">
        <v>0</v>
      </c>
      <c r="E1" s="3"/>
      <c r="F1" s="3"/>
      <c r="G1" s="4"/>
      <c r="H1" s="5" t="s">
        <v>1</v>
      </c>
      <c r="I1" s="6"/>
      <c r="J1" s="7" t="s">
        <v>2</v>
      </c>
      <c r="K1" s="6"/>
      <c r="L1" s="7" t="s">
        <v>3</v>
      </c>
      <c r="M1" s="6"/>
      <c r="N1" s="7" t="s">
        <v>4</v>
      </c>
      <c r="O1" s="6"/>
      <c r="P1" s="8" t="s">
        <v>5</v>
      </c>
      <c r="Q1" s="8"/>
      <c r="R1" s="8"/>
      <c r="S1" s="9"/>
      <c r="T1" s="10" t="s">
        <v>6</v>
      </c>
      <c r="U1" s="11"/>
      <c r="V1" s="11"/>
      <c r="W1" s="11"/>
      <c r="X1" s="12"/>
    </row>
    <row r="2" spans="1:24" ht="39" x14ac:dyDescent="0.35">
      <c r="A2" s="1"/>
      <c r="B2" s="13" t="s">
        <v>7</v>
      </c>
      <c r="C2" s="14" t="s">
        <v>8</v>
      </c>
      <c r="D2" s="15" t="s">
        <v>9</v>
      </c>
      <c r="E2" s="15" t="s">
        <v>10</v>
      </c>
      <c r="F2" s="15" t="s">
        <v>11</v>
      </c>
      <c r="G2" s="15" t="s">
        <v>12</v>
      </c>
      <c r="H2" s="16" t="s">
        <v>13</v>
      </c>
      <c r="I2" s="17" t="s">
        <v>14</v>
      </c>
      <c r="J2" s="18" t="s">
        <v>13</v>
      </c>
      <c r="K2" s="17" t="s">
        <v>14</v>
      </c>
      <c r="L2" s="18" t="s">
        <v>13</v>
      </c>
      <c r="M2" s="17" t="s">
        <v>14</v>
      </c>
      <c r="N2" s="18" t="s">
        <v>13</v>
      </c>
      <c r="O2" s="17" t="s">
        <v>14</v>
      </c>
      <c r="P2" s="19" t="s">
        <v>15</v>
      </c>
      <c r="Q2" s="16" t="s">
        <v>16</v>
      </c>
      <c r="R2" s="16" t="s">
        <v>17</v>
      </c>
      <c r="S2" s="16" t="s">
        <v>18</v>
      </c>
      <c r="T2" s="15" t="s">
        <v>19</v>
      </c>
      <c r="U2" s="15" t="s">
        <v>20</v>
      </c>
      <c r="V2" s="15" t="s">
        <v>21</v>
      </c>
      <c r="W2" s="15" t="s">
        <v>22</v>
      </c>
      <c r="X2" s="15" t="s">
        <v>23</v>
      </c>
    </row>
    <row r="3" spans="1:24" x14ac:dyDescent="0.35">
      <c r="A3" s="1"/>
      <c r="B3" s="20" t="s">
        <v>24</v>
      </c>
      <c r="C3" s="21"/>
      <c r="D3" s="21"/>
      <c r="E3" s="21"/>
      <c r="F3" s="21"/>
      <c r="G3" s="21"/>
      <c r="H3" s="22"/>
      <c r="I3" s="23"/>
      <c r="J3" s="24"/>
      <c r="K3" s="23"/>
      <c r="L3" s="24"/>
      <c r="M3" s="23"/>
      <c r="N3" s="24"/>
      <c r="O3" s="23"/>
      <c r="P3" s="25"/>
      <c r="Q3" s="22"/>
      <c r="R3" s="22"/>
      <c r="S3" s="22"/>
      <c r="T3" s="22"/>
      <c r="U3" s="22"/>
      <c r="V3" s="22"/>
      <c r="W3" s="22"/>
      <c r="X3" s="22"/>
    </row>
    <row r="4" spans="1:24" ht="81" thickBot="1" x14ac:dyDescent="0.4">
      <c r="A4" s="1"/>
      <c r="B4" s="26" t="s">
        <v>25</v>
      </c>
      <c r="C4" s="26"/>
      <c r="D4" s="26"/>
      <c r="E4" s="26"/>
      <c r="F4" s="26"/>
      <c r="G4" s="26"/>
      <c r="H4" s="27"/>
      <c r="I4" s="28"/>
      <c r="J4" s="29"/>
      <c r="K4" s="28"/>
      <c r="L4" s="29"/>
      <c r="M4" s="28"/>
      <c r="N4" s="29"/>
      <c r="O4" s="28"/>
      <c r="P4" s="30"/>
      <c r="Q4" s="27"/>
      <c r="R4" s="27"/>
      <c r="S4" s="27"/>
      <c r="T4" s="27"/>
      <c r="U4" s="27"/>
      <c r="V4" s="27"/>
      <c r="W4" s="27"/>
      <c r="X4" s="27"/>
    </row>
    <row r="5" spans="1:24" ht="92" x14ac:dyDescent="0.35">
      <c r="A5" s="1"/>
      <c r="B5" s="31" t="s">
        <v>26</v>
      </c>
      <c r="C5" s="32" t="s">
        <v>27</v>
      </c>
      <c r="D5" s="33">
        <v>98</v>
      </c>
      <c r="E5" s="33">
        <v>99</v>
      </c>
      <c r="F5" s="33">
        <v>98</v>
      </c>
      <c r="G5" s="33">
        <v>99</v>
      </c>
      <c r="H5" s="34">
        <f>'[1]Final BUDGET'!$L$31</f>
        <v>301450.59987999999</v>
      </c>
      <c r="I5" s="35">
        <v>301411</v>
      </c>
      <c r="J5" s="36">
        <f>'[1]Final BUDGET'!$O$31</f>
        <v>301450.59987999999</v>
      </c>
      <c r="K5" s="35"/>
      <c r="L5" s="36">
        <f>'[1]Final BUDGET'!$R$31</f>
        <v>301450.59987999999</v>
      </c>
      <c r="M5" s="35"/>
      <c r="N5" s="36">
        <f>'[1]Final BUDGET'!$T$31</f>
        <v>246250</v>
      </c>
      <c r="O5" s="35"/>
      <c r="P5" s="34">
        <v>96</v>
      </c>
      <c r="Q5" s="1"/>
      <c r="R5" s="34"/>
      <c r="S5" s="34"/>
      <c r="T5" s="34">
        <f>'[1]Final BUDGET'!$H$31</f>
        <v>1150601.7996400001</v>
      </c>
      <c r="U5" s="34">
        <v>394</v>
      </c>
      <c r="V5" s="34">
        <f>SUM(P5:S5)</f>
        <v>96</v>
      </c>
      <c r="W5" s="37">
        <f>SUM(H5:H8,J5:J8,L5:L8,N5:N8)</f>
        <v>39140087.79964</v>
      </c>
      <c r="X5" s="37">
        <f>SUM(I5:I8,K5:K8,M5:M8,O5:O8)</f>
        <v>301411</v>
      </c>
    </row>
    <row r="6" spans="1:24" ht="69" x14ac:dyDescent="0.35">
      <c r="A6" s="1"/>
      <c r="B6" s="31"/>
      <c r="C6" s="38" t="s">
        <v>28</v>
      </c>
      <c r="D6" s="39"/>
      <c r="E6" s="39">
        <v>295</v>
      </c>
      <c r="F6" s="39">
        <v>99</v>
      </c>
      <c r="G6" s="39"/>
      <c r="H6" s="40"/>
      <c r="I6" s="41"/>
      <c r="J6" s="42">
        <f>SUM('[1]Final BUDGET'!$M$37,'[1]Final BUDGET'!$N$37,'[1]Final BUDGET'!$O$37)</f>
        <v>13250810</v>
      </c>
      <c r="K6" s="41"/>
      <c r="L6" s="42">
        <f>'[1]Final BUDGET'!$P$37</f>
        <v>284350</v>
      </c>
      <c r="M6" s="41"/>
      <c r="N6" s="42"/>
      <c r="O6" s="41"/>
      <c r="P6" s="43"/>
      <c r="Q6" s="40"/>
      <c r="R6" s="40"/>
      <c r="S6" s="40"/>
      <c r="T6" s="40">
        <f>'[1]Final BUDGET'!$H$37</f>
        <v>13535160</v>
      </c>
      <c r="U6" s="40">
        <v>394</v>
      </c>
      <c r="V6" s="34">
        <f t="shared" ref="V6:V49" si="0">SUM(P6:S6)</f>
        <v>0</v>
      </c>
      <c r="W6" s="37"/>
      <c r="X6" s="37"/>
    </row>
    <row r="7" spans="1:24" ht="103.5" x14ac:dyDescent="0.35">
      <c r="A7" s="1"/>
      <c r="B7" s="31"/>
      <c r="C7" s="38" t="s">
        <v>29</v>
      </c>
      <c r="D7" s="39"/>
      <c r="E7" s="39">
        <v>296</v>
      </c>
      <c r="F7" s="39">
        <v>98</v>
      </c>
      <c r="G7" s="39"/>
      <c r="H7" s="40"/>
      <c r="I7" s="41"/>
      <c r="J7" s="42">
        <f>SUM('[1]Final BUDGET'!$M$42:$O$42)</f>
        <v>814950</v>
      </c>
      <c r="K7" s="41"/>
      <c r="L7" s="42">
        <f>'[1]Final BUDGET'!$P$42</f>
        <v>246250</v>
      </c>
      <c r="M7" s="41"/>
      <c r="N7" s="42"/>
      <c r="O7" s="41"/>
      <c r="P7" s="43"/>
      <c r="Q7" s="40"/>
      <c r="R7" s="40"/>
      <c r="S7" s="40"/>
      <c r="T7" s="40">
        <f>'[1]Final BUDGET'!$H$42</f>
        <v>1061200</v>
      </c>
      <c r="U7" s="40">
        <v>394</v>
      </c>
      <c r="V7" s="34">
        <f t="shared" si="0"/>
        <v>0</v>
      </c>
      <c r="W7" s="37"/>
      <c r="X7" s="37"/>
    </row>
    <row r="8" spans="1:24" ht="138.5" thickBot="1" x14ac:dyDescent="0.4">
      <c r="A8" s="1"/>
      <c r="B8" s="44"/>
      <c r="C8" s="45" t="s">
        <v>30</v>
      </c>
      <c r="D8" s="46"/>
      <c r="E8" s="46"/>
      <c r="F8" s="46">
        <v>99</v>
      </c>
      <c r="G8" s="46">
        <v>295</v>
      </c>
      <c r="H8" s="47"/>
      <c r="I8" s="48"/>
      <c r="J8" s="49"/>
      <c r="K8" s="48"/>
      <c r="L8" s="49">
        <f>'[1]Final BUDGET'!$R$46</f>
        <v>22654376</v>
      </c>
      <c r="M8" s="48"/>
      <c r="N8" s="49">
        <f>SUM('[1]Final BUDGET'!$S$46:$U$46)</f>
        <v>738750</v>
      </c>
      <c r="O8" s="48"/>
      <c r="P8" s="50"/>
      <c r="Q8" s="47"/>
      <c r="R8" s="47"/>
      <c r="S8" s="47"/>
      <c r="T8" s="47">
        <f>'[1]Final BUDGET'!$H$46</f>
        <v>23393126</v>
      </c>
      <c r="U8" s="47">
        <v>394</v>
      </c>
      <c r="V8" s="47">
        <f t="shared" si="0"/>
        <v>0</v>
      </c>
      <c r="W8" s="51"/>
      <c r="X8" s="51"/>
    </row>
    <row r="9" spans="1:24" ht="104" thickBot="1" x14ac:dyDescent="0.4">
      <c r="A9" s="1"/>
      <c r="B9" s="52" t="s">
        <v>31</v>
      </c>
      <c r="C9" s="53" t="s">
        <v>32</v>
      </c>
      <c r="D9" s="54">
        <v>394</v>
      </c>
      <c r="E9" s="54"/>
      <c r="F9" s="54"/>
      <c r="G9" s="54"/>
      <c r="H9" s="55">
        <f>'[1]Final BUDGET'!$L$56</f>
        <v>11072068</v>
      </c>
      <c r="I9" s="56">
        <v>8876068</v>
      </c>
      <c r="J9" s="57"/>
      <c r="K9" s="56"/>
      <c r="L9" s="57"/>
      <c r="M9" s="56"/>
      <c r="N9" s="57"/>
      <c r="O9" s="56"/>
      <c r="P9" s="58"/>
      <c r="Q9" s="55"/>
      <c r="R9" s="55"/>
      <c r="S9" s="55"/>
      <c r="T9" s="55">
        <f>'[1]Final BUDGET'!$H$56</f>
        <v>11072068</v>
      </c>
      <c r="U9" s="55">
        <v>394</v>
      </c>
      <c r="V9" s="55">
        <f t="shared" si="0"/>
        <v>0</v>
      </c>
      <c r="W9" s="55">
        <f>SUM(H9,J9,L9,N9)</f>
        <v>11072068</v>
      </c>
      <c r="X9" s="55">
        <f>SUM(I9,K9,M9,O9)</f>
        <v>8876068</v>
      </c>
    </row>
    <row r="10" spans="1:24" ht="80.5" x14ac:dyDescent="0.35">
      <c r="A10" s="1"/>
      <c r="B10" s="59" t="s">
        <v>33</v>
      </c>
      <c r="C10" s="32" t="s">
        <v>34</v>
      </c>
      <c r="D10" s="33">
        <v>20</v>
      </c>
      <c r="E10" s="33"/>
      <c r="F10" s="33"/>
      <c r="G10" s="33"/>
      <c r="H10" s="34">
        <f>'[1]Final BUDGET'!$L$63</f>
        <v>2425000</v>
      </c>
      <c r="I10" s="35">
        <v>2078600</v>
      </c>
      <c r="J10" s="36"/>
      <c r="K10" s="35"/>
      <c r="L10" s="36"/>
      <c r="M10" s="35"/>
      <c r="N10" s="36"/>
      <c r="O10" s="35"/>
      <c r="P10" s="60">
        <v>9</v>
      </c>
      <c r="Q10" s="34"/>
      <c r="R10" s="34"/>
      <c r="S10" s="34"/>
      <c r="T10" s="34">
        <f>'[1]Final BUDGET'!$H$63</f>
        <v>2425000</v>
      </c>
      <c r="U10" s="34">
        <v>20</v>
      </c>
      <c r="V10" s="34">
        <f t="shared" si="0"/>
        <v>9</v>
      </c>
      <c r="W10" s="37">
        <f>SUM(H10:H12,J10:J12,L10:L12,N10:N12)</f>
        <v>16152000</v>
      </c>
      <c r="X10" s="37">
        <f>SUM(I10:I12,K10:K12,M10:M12,O10:O12)</f>
        <v>10139436</v>
      </c>
    </row>
    <row r="11" spans="1:24" ht="80.5" x14ac:dyDescent="0.35">
      <c r="A11" s="1"/>
      <c r="B11" s="61"/>
      <c r="C11" s="38" t="s">
        <v>35</v>
      </c>
      <c r="D11" s="62">
        <v>59</v>
      </c>
      <c r="E11" s="62">
        <v>236</v>
      </c>
      <c r="F11" s="62">
        <v>236</v>
      </c>
      <c r="G11" s="62">
        <v>177</v>
      </c>
      <c r="H11" s="40">
        <f>'[1]Final BUDGET'!$L$72</f>
        <v>1173000</v>
      </c>
      <c r="I11" s="41">
        <v>1434000</v>
      </c>
      <c r="J11" s="42">
        <f>SUM('[1]Final BUDGET'!$M$72,'[1]Final BUDGET'!$N$72,'[1]Final BUDGET'!$O$72)</f>
        <v>2072000</v>
      </c>
      <c r="K11" s="63"/>
      <c r="L11" s="42">
        <f>SUM('[1]Final BUDGET'!$P$72:$R$72)</f>
        <v>1116000</v>
      </c>
      <c r="M11" s="41"/>
      <c r="N11" s="42">
        <f>SUM('[1]Final BUDGET'!$S$72:$U$72)</f>
        <v>1366000</v>
      </c>
      <c r="O11" s="41"/>
      <c r="P11" s="43">
        <v>68</v>
      </c>
      <c r="Q11" s="40"/>
      <c r="R11" s="40"/>
      <c r="S11" s="40"/>
      <c r="T11" s="40">
        <f>'[1]Final BUDGET'!$H$72</f>
        <v>5727000</v>
      </c>
      <c r="U11" s="40">
        <v>708</v>
      </c>
      <c r="V11" s="34">
        <f t="shared" si="0"/>
        <v>68</v>
      </c>
      <c r="W11" s="37"/>
      <c r="X11" s="37"/>
    </row>
    <row r="12" spans="1:24" ht="104" thickBot="1" x14ac:dyDescent="0.4">
      <c r="A12" s="1"/>
      <c r="B12" s="64"/>
      <c r="C12" s="45" t="s">
        <v>36</v>
      </c>
      <c r="D12" s="65">
        <v>113</v>
      </c>
      <c r="E12" s="65">
        <v>112</v>
      </c>
      <c r="F12" s="65">
        <v>113</v>
      </c>
      <c r="G12" s="65">
        <v>112</v>
      </c>
      <c r="H12" s="47">
        <f>'[1]Final BUDGET'!$L$78</f>
        <v>6649250</v>
      </c>
      <c r="I12" s="48">
        <v>6626836</v>
      </c>
      <c r="J12" s="49">
        <f>'[1]Final BUDGET'!$O$78</f>
        <v>441250</v>
      </c>
      <c r="K12" s="66"/>
      <c r="L12" s="49">
        <f>'[1]Final BUDGET'!$R$78</f>
        <v>468250</v>
      </c>
      <c r="M12" s="48"/>
      <c r="N12" s="49">
        <f>'[1]Final BUDGET'!$T$78</f>
        <v>441250</v>
      </c>
      <c r="O12" s="48"/>
      <c r="P12" s="50">
        <v>104</v>
      </c>
      <c r="Q12" s="47"/>
      <c r="R12" s="47"/>
      <c r="S12" s="47"/>
      <c r="T12" s="47">
        <f>'[1]Final BUDGET'!$H$78</f>
        <v>8000000</v>
      </c>
      <c r="U12" s="47">
        <v>450</v>
      </c>
      <c r="V12" s="47">
        <f t="shared" si="0"/>
        <v>104</v>
      </c>
      <c r="W12" s="51"/>
      <c r="X12" s="51"/>
    </row>
    <row r="13" spans="1:24" ht="103.5" x14ac:dyDescent="0.35">
      <c r="A13" s="1"/>
      <c r="B13" s="31" t="s">
        <v>37</v>
      </c>
      <c r="C13" s="32" t="s">
        <v>38</v>
      </c>
      <c r="D13" s="67"/>
      <c r="E13" s="67">
        <v>152</v>
      </c>
      <c r="F13" s="67">
        <v>304</v>
      </c>
      <c r="G13" s="67">
        <v>152</v>
      </c>
      <c r="H13" s="34"/>
      <c r="I13" s="35"/>
      <c r="J13" s="36">
        <f>'[1]Final BUDGET'!$N$88</f>
        <v>1179000</v>
      </c>
      <c r="K13" s="35"/>
      <c r="L13" s="36">
        <f>SUM('[1]Final BUDGET'!$P$88,'[1]Final BUDGET'!$R$88)</f>
        <v>1280000</v>
      </c>
      <c r="M13" s="35"/>
      <c r="N13" s="36">
        <f>'[1]Final BUDGET'!$T$88</f>
        <v>593000</v>
      </c>
      <c r="O13" s="35"/>
      <c r="P13" s="60"/>
      <c r="Q13" s="34"/>
      <c r="R13" s="34"/>
      <c r="S13" s="34"/>
      <c r="T13" s="34">
        <f>'[1]Final BUDGET'!$H$88</f>
        <v>3052000</v>
      </c>
      <c r="U13" s="34">
        <v>608</v>
      </c>
      <c r="V13" s="34">
        <f t="shared" si="0"/>
        <v>0</v>
      </c>
      <c r="W13" s="37">
        <f>SUM(H13:H14,J13:J14,L13:L14,N13:N14)</f>
        <v>6067000</v>
      </c>
      <c r="X13" s="37">
        <f>SUM(I13:I14,K13:K14,M13:M14,O13:O14)</f>
        <v>0</v>
      </c>
    </row>
    <row r="14" spans="1:24" ht="150" thickBot="1" x14ac:dyDescent="0.4">
      <c r="A14" s="1"/>
      <c r="B14" s="44"/>
      <c r="C14" s="45" t="s">
        <v>39</v>
      </c>
      <c r="D14" s="46"/>
      <c r="E14" s="46">
        <v>87</v>
      </c>
      <c r="F14" s="46">
        <v>261</v>
      </c>
      <c r="G14" s="46">
        <v>261</v>
      </c>
      <c r="H14" s="47"/>
      <c r="I14" s="48"/>
      <c r="J14" s="49">
        <f>'[1]Final BUDGET'!$O$93</f>
        <v>405000</v>
      </c>
      <c r="K14" s="48"/>
      <c r="L14" s="49">
        <f>SUM('[1]Final BUDGET'!$P$93:$R$93)</f>
        <v>1275000</v>
      </c>
      <c r="M14" s="48"/>
      <c r="N14" s="49">
        <f>SUM('[1]Final BUDGET'!$S$93:$U$93)</f>
        <v>1335000</v>
      </c>
      <c r="O14" s="48"/>
      <c r="P14" s="50"/>
      <c r="Q14" s="47"/>
      <c r="R14" s="47"/>
      <c r="S14" s="47"/>
      <c r="T14" s="47">
        <f>'[1]Final BUDGET'!$H$93</f>
        <v>3015000</v>
      </c>
      <c r="U14" s="47">
        <v>608</v>
      </c>
      <c r="V14" s="47">
        <f>SUM(P14:S14)</f>
        <v>0</v>
      </c>
      <c r="W14" s="51"/>
      <c r="X14" s="51"/>
    </row>
    <row r="15" spans="1:24" ht="126.5" x14ac:dyDescent="0.35">
      <c r="A15" s="1"/>
      <c r="B15" s="31" t="s">
        <v>40</v>
      </c>
      <c r="C15" s="32" t="s">
        <v>41</v>
      </c>
      <c r="D15" s="33">
        <v>177</v>
      </c>
      <c r="E15" s="33">
        <v>177</v>
      </c>
      <c r="F15" s="33">
        <v>177</v>
      </c>
      <c r="G15" s="33">
        <v>177</v>
      </c>
      <c r="H15" s="34">
        <f>'[1]Final BUDGET'!$L$101</f>
        <v>910000</v>
      </c>
      <c r="I15" s="35">
        <v>569083</v>
      </c>
      <c r="J15" s="36">
        <f>'[1]Final BUDGET'!$O$101</f>
        <v>910000</v>
      </c>
      <c r="K15" s="68"/>
      <c r="L15" s="36">
        <f>'[1]Final BUDGET'!$R$101</f>
        <v>877000</v>
      </c>
      <c r="M15" s="35"/>
      <c r="N15" s="36">
        <f>'[1]Final BUDGET'!$T$101</f>
        <v>850000</v>
      </c>
      <c r="O15" s="35"/>
      <c r="P15" s="60">
        <v>161</v>
      </c>
      <c r="Q15" s="34"/>
      <c r="R15" s="34"/>
      <c r="S15" s="34"/>
      <c r="T15" s="34">
        <f>'[1]Final BUDGET'!$H$101</f>
        <v>3547000</v>
      </c>
      <c r="U15" s="34">
        <v>708</v>
      </c>
      <c r="V15" s="34">
        <f t="shared" si="0"/>
        <v>161</v>
      </c>
      <c r="W15" s="37">
        <f>SUM(H15:H18,J15:J18,L15:L18,N15:N18)</f>
        <v>12101488</v>
      </c>
      <c r="X15" s="37">
        <f>SUM(I15:I18,K15:K18,M15:M18,O15:O18)</f>
        <v>2042607</v>
      </c>
    </row>
    <row r="16" spans="1:24" ht="115" x14ac:dyDescent="0.35">
      <c r="A16" s="1"/>
      <c r="B16" s="31"/>
      <c r="C16" s="38" t="s">
        <v>42</v>
      </c>
      <c r="D16" s="62">
        <v>15</v>
      </c>
      <c r="E16" s="62">
        <v>15</v>
      </c>
      <c r="F16" s="62">
        <v>15</v>
      </c>
      <c r="G16" s="62">
        <v>15</v>
      </c>
      <c r="H16" s="40">
        <f>'[1]Final BUDGET'!$L$105</f>
        <v>107500</v>
      </c>
      <c r="I16" s="41">
        <v>107500</v>
      </c>
      <c r="J16" s="42">
        <f>'[1]Final BUDGET'!$O$105</f>
        <v>37500</v>
      </c>
      <c r="K16" s="41"/>
      <c r="L16" s="42">
        <f>'[1]Final BUDGET'!$R$105</f>
        <v>37500</v>
      </c>
      <c r="M16" s="41"/>
      <c r="N16" s="42">
        <f>'[1]Final BUDGET'!$T$105</f>
        <v>37500</v>
      </c>
      <c r="O16" s="41"/>
      <c r="P16" s="43">
        <v>15</v>
      </c>
      <c r="Q16" s="40"/>
      <c r="R16" s="40"/>
      <c r="S16" s="40"/>
      <c r="T16" s="40">
        <f>'[1]Final BUDGET'!$H$105</f>
        <v>220000</v>
      </c>
      <c r="U16" s="40">
        <v>60</v>
      </c>
      <c r="V16" s="34">
        <f t="shared" si="0"/>
        <v>15</v>
      </c>
      <c r="W16" s="37"/>
      <c r="X16" s="37"/>
    </row>
    <row r="17" spans="1:24" ht="69" x14ac:dyDescent="0.35">
      <c r="A17" s="1"/>
      <c r="B17" s="31"/>
      <c r="C17" s="38" t="s">
        <v>43</v>
      </c>
      <c r="D17" s="62">
        <v>3</v>
      </c>
      <c r="E17" s="62">
        <v>3</v>
      </c>
      <c r="F17" s="62">
        <v>8</v>
      </c>
      <c r="G17" s="62">
        <v>4</v>
      </c>
      <c r="H17" s="40">
        <f>'[1]Final BUDGET'!$L$109</f>
        <v>1506492</v>
      </c>
      <c r="I17" s="41">
        <v>27000</v>
      </c>
      <c r="J17" s="42">
        <f>'[1]Final BUDGET'!$N$109</f>
        <v>27000</v>
      </c>
      <c r="K17" s="63"/>
      <c r="L17" s="42">
        <f>SUM('[1]Final BUDGET'!$P$109,'[1]Final BUDGET'!$R$109)</f>
        <v>54000</v>
      </c>
      <c r="M17" s="41"/>
      <c r="N17" s="42">
        <f>'[1]Final BUDGET'!$T$109</f>
        <v>27000</v>
      </c>
      <c r="O17" s="41"/>
      <c r="P17" s="43">
        <v>3</v>
      </c>
      <c r="Q17" s="40"/>
      <c r="R17" s="40"/>
      <c r="S17" s="40"/>
      <c r="T17" s="40">
        <f>'[1]Final BUDGET'!$H$109</f>
        <v>1614492</v>
      </c>
      <c r="U17" s="40">
        <v>18</v>
      </c>
      <c r="V17" s="34">
        <f t="shared" si="0"/>
        <v>3</v>
      </c>
      <c r="W17" s="37"/>
      <c r="X17" s="37"/>
    </row>
    <row r="18" spans="1:24" ht="127" thickBot="1" x14ac:dyDescent="0.4">
      <c r="A18" s="1"/>
      <c r="B18" s="44"/>
      <c r="C18" s="45" t="s">
        <v>44</v>
      </c>
      <c r="D18" s="65">
        <v>5</v>
      </c>
      <c r="E18" s="65">
        <v>4</v>
      </c>
      <c r="F18" s="65">
        <v>5</v>
      </c>
      <c r="G18" s="65">
        <v>4</v>
      </c>
      <c r="H18" s="47">
        <f>'[1]Final BUDGET'!$L$196</f>
        <v>1679999</v>
      </c>
      <c r="I18" s="48">
        <v>1339024</v>
      </c>
      <c r="J18" s="49">
        <f>'[1]Final BUDGET'!$O$196</f>
        <v>1679999</v>
      </c>
      <c r="K18" s="66"/>
      <c r="L18" s="49">
        <f>'[1]Final BUDGET'!$Q$196</f>
        <v>1679999</v>
      </c>
      <c r="M18" s="48"/>
      <c r="N18" s="49">
        <f>'[1]Final BUDGET'!$T$196</f>
        <v>1679999</v>
      </c>
      <c r="O18" s="48"/>
      <c r="P18" s="50"/>
      <c r="Q18" s="47"/>
      <c r="R18" s="47"/>
      <c r="S18" s="47"/>
      <c r="T18" s="47">
        <f>'[1]Final BUDGET'!$H$196</f>
        <v>6719996</v>
      </c>
      <c r="U18" s="47">
        <v>18</v>
      </c>
      <c r="V18" s="47">
        <f t="shared" si="0"/>
        <v>0</v>
      </c>
      <c r="W18" s="51"/>
      <c r="X18" s="51"/>
    </row>
    <row r="19" spans="1:24" ht="103.5" x14ac:dyDescent="0.35">
      <c r="A19" s="1"/>
      <c r="B19" s="31" t="s">
        <v>45</v>
      </c>
      <c r="C19" s="32" t="s">
        <v>46</v>
      </c>
      <c r="D19" s="69"/>
      <c r="E19" s="69">
        <v>8</v>
      </c>
      <c r="F19" s="69">
        <v>4</v>
      </c>
      <c r="G19" s="69">
        <v>6</v>
      </c>
      <c r="H19" s="34"/>
      <c r="I19" s="35"/>
      <c r="J19" s="36">
        <f>SUM('[1]Final BUDGET'!$M$116,'[1]Final BUDGET'!$O$116)</f>
        <v>720600</v>
      </c>
      <c r="K19" s="35"/>
      <c r="L19" s="36">
        <f>'[1]Final BUDGET'!$Q$116</f>
        <v>376800</v>
      </c>
      <c r="M19" s="35"/>
      <c r="N19" s="36">
        <f>SUM('[1]Final BUDGET'!$S$116,'[1]Final BUDGET'!$U$116)</f>
        <v>370800</v>
      </c>
      <c r="O19" s="35"/>
      <c r="P19" s="60"/>
      <c r="Q19" s="34"/>
      <c r="R19" s="34"/>
      <c r="S19" s="34"/>
      <c r="T19" s="34">
        <f>'[1]Final BUDGET'!$H$116</f>
        <v>1468200</v>
      </c>
      <c r="U19" s="34">
        <v>18</v>
      </c>
      <c r="V19" s="34">
        <f t="shared" si="0"/>
        <v>0</v>
      </c>
      <c r="W19" s="37">
        <f>SUM(H19:H20,J19:J20,L19:L20,N19:N20)</f>
        <v>1995200</v>
      </c>
      <c r="X19" s="37">
        <f>SUM(I19:I20,K19:K20,M19:M20,O19:O20)</f>
        <v>0</v>
      </c>
    </row>
    <row r="20" spans="1:24" ht="138.5" thickBot="1" x14ac:dyDescent="0.4">
      <c r="A20" s="1"/>
      <c r="B20" s="44"/>
      <c r="C20" s="45" t="s">
        <v>47</v>
      </c>
      <c r="D20" s="65">
        <v>2</v>
      </c>
      <c r="E20" s="65">
        <v>6</v>
      </c>
      <c r="F20" s="65">
        <v>6</v>
      </c>
      <c r="G20" s="65">
        <v>6</v>
      </c>
      <c r="H20" s="47">
        <f>'[1]Final BUDGET'!$L$120</f>
        <v>44000</v>
      </c>
      <c r="I20" s="48">
        <v>0</v>
      </c>
      <c r="J20" s="49">
        <f>SUM('[1]Final BUDGET'!$M$120:$O$120)</f>
        <v>219000</v>
      </c>
      <c r="K20" s="48"/>
      <c r="L20" s="49">
        <f>SUM('[1]Final BUDGET'!$P$120:$R$120)</f>
        <v>132000</v>
      </c>
      <c r="M20" s="48"/>
      <c r="N20" s="49">
        <f>SUM('[1]Final BUDGET'!$S$120:$U$120)</f>
        <v>132000</v>
      </c>
      <c r="O20" s="48"/>
      <c r="P20" s="50">
        <v>15</v>
      </c>
      <c r="Q20" s="47"/>
      <c r="R20" s="47"/>
      <c r="S20" s="47"/>
      <c r="T20" s="47">
        <f>'[1]Final BUDGET'!$H$120</f>
        <v>527000</v>
      </c>
      <c r="U20" s="47">
        <v>20</v>
      </c>
      <c r="V20" s="47">
        <f t="shared" si="0"/>
        <v>15</v>
      </c>
      <c r="W20" s="51"/>
      <c r="X20" s="51"/>
    </row>
    <row r="21" spans="1:24" ht="115.5" thickBot="1" x14ac:dyDescent="0.4">
      <c r="A21" s="1"/>
      <c r="B21" s="70" t="s">
        <v>48</v>
      </c>
      <c r="C21" s="70"/>
      <c r="D21" s="71"/>
      <c r="E21" s="71"/>
      <c r="F21" s="71"/>
      <c r="G21" s="71"/>
      <c r="H21" s="72"/>
      <c r="I21" s="73"/>
      <c r="J21" s="74"/>
      <c r="K21" s="73"/>
      <c r="L21" s="74"/>
      <c r="M21" s="73"/>
      <c r="N21" s="74"/>
      <c r="O21" s="73"/>
      <c r="P21" s="75"/>
      <c r="Q21" s="72"/>
      <c r="R21" s="72"/>
      <c r="S21" s="72"/>
      <c r="T21" s="72"/>
      <c r="U21" s="72"/>
      <c r="V21" s="72"/>
      <c r="W21" s="72"/>
      <c r="X21" s="72"/>
    </row>
    <row r="22" spans="1:24" ht="149.5" x14ac:dyDescent="0.35">
      <c r="A22" s="1"/>
      <c r="B22" s="31" t="s">
        <v>49</v>
      </c>
      <c r="C22" s="32" t="s">
        <v>50</v>
      </c>
      <c r="D22" s="33">
        <v>150</v>
      </c>
      <c r="E22" s="33">
        <v>150</v>
      </c>
      <c r="F22" s="33">
        <v>150</v>
      </c>
      <c r="G22" s="33">
        <v>150</v>
      </c>
      <c r="H22" s="34">
        <f>'[1]Final BUDGET'!$L$131</f>
        <v>990500</v>
      </c>
      <c r="I22" s="35">
        <v>833700</v>
      </c>
      <c r="J22" s="36">
        <f>SUM('[1]Final BUDGET'!$M$131:$O$131)</f>
        <v>1950500</v>
      </c>
      <c r="K22" s="68"/>
      <c r="L22" s="36">
        <f>SUM('[1]Final BUDGET'!$P$131:$R$131)</f>
        <v>1934000</v>
      </c>
      <c r="M22" s="35"/>
      <c r="N22" s="36">
        <f>SUM('[1]Final BUDGET'!$S$131:$U$131)</f>
        <v>1855000</v>
      </c>
      <c r="O22" s="35"/>
      <c r="P22" s="60">
        <v>159</v>
      </c>
      <c r="Q22" s="34"/>
      <c r="R22" s="34"/>
      <c r="S22" s="34"/>
      <c r="T22" s="34">
        <f>'[1]Final BUDGET'!$H$131</f>
        <v>6730000</v>
      </c>
      <c r="U22" s="34">
        <v>600</v>
      </c>
      <c r="V22" s="34">
        <f t="shared" si="0"/>
        <v>159</v>
      </c>
      <c r="W22" s="37">
        <f>SUM(H22:H26,J22:J26,L22:L26,N22:N26)</f>
        <v>19687000</v>
      </c>
      <c r="X22" s="37">
        <f>SUM(I22:I26,K22:K26,M22:M26,O22:O26)</f>
        <v>2255200</v>
      </c>
    </row>
    <row r="23" spans="1:24" ht="172.5" x14ac:dyDescent="0.35">
      <c r="A23" s="1"/>
      <c r="B23" s="31"/>
      <c r="C23" s="38" t="s">
        <v>51</v>
      </c>
      <c r="D23" s="62">
        <v>19</v>
      </c>
      <c r="E23" s="62">
        <v>55</v>
      </c>
      <c r="F23" s="62">
        <v>57</v>
      </c>
      <c r="G23" s="62">
        <v>57</v>
      </c>
      <c r="H23" s="40">
        <f>'[1]Final BUDGET'!$L$134</f>
        <v>850000</v>
      </c>
      <c r="I23" s="41">
        <v>680000</v>
      </c>
      <c r="J23" s="42">
        <f>SUM('[1]Final BUDGET'!$M$134:$O$134)</f>
        <v>2550000</v>
      </c>
      <c r="K23" s="63"/>
      <c r="L23" s="42">
        <f>SUM('[1]Final BUDGET'!$P$134:$R$134)</f>
        <v>2550000</v>
      </c>
      <c r="M23" s="41"/>
      <c r="N23" s="42">
        <f>SUM('[1]Final BUDGET'!$S$134:$U$134)</f>
        <v>2550000</v>
      </c>
      <c r="O23" s="41"/>
      <c r="P23" s="43">
        <v>138</v>
      </c>
      <c r="Q23" s="40"/>
      <c r="R23" s="40"/>
      <c r="S23" s="40"/>
      <c r="T23" s="40">
        <f>'[1]Final BUDGET'!$H$134</f>
        <v>8500000</v>
      </c>
      <c r="U23" s="40">
        <v>188</v>
      </c>
      <c r="V23" s="34">
        <f t="shared" si="0"/>
        <v>138</v>
      </c>
      <c r="W23" s="37"/>
      <c r="X23" s="37"/>
    </row>
    <row r="24" spans="1:24" ht="184" x14ac:dyDescent="0.35">
      <c r="A24" s="1"/>
      <c r="B24" s="31"/>
      <c r="C24" s="38" t="s">
        <v>52</v>
      </c>
      <c r="D24" s="62">
        <v>150</v>
      </c>
      <c r="E24" s="62">
        <v>150</v>
      </c>
      <c r="F24" s="62">
        <v>150</v>
      </c>
      <c r="G24" s="62">
        <v>150</v>
      </c>
      <c r="H24" s="40">
        <f>'[1]Final BUDGET'!$L$141</f>
        <v>588500</v>
      </c>
      <c r="I24" s="41">
        <v>402000</v>
      </c>
      <c r="J24" s="42">
        <f>'[1]Final BUDGET'!$O$141</f>
        <v>588500</v>
      </c>
      <c r="K24" s="76"/>
      <c r="L24" s="42">
        <f>'[1]Final BUDGET'!$R$141</f>
        <v>395000</v>
      </c>
      <c r="M24" s="41"/>
      <c r="N24" s="42">
        <f>'[1]Final BUDGET'!$T$141</f>
        <v>395000</v>
      </c>
      <c r="O24" s="41"/>
      <c r="P24" s="43">
        <v>71</v>
      </c>
      <c r="Q24" s="40"/>
      <c r="R24" s="40"/>
      <c r="S24" s="40"/>
      <c r="T24" s="40">
        <f>'[1]Final BUDGET'!$H$141</f>
        <v>1967000</v>
      </c>
      <c r="U24" s="40">
        <v>600</v>
      </c>
      <c r="V24" s="34">
        <f t="shared" si="0"/>
        <v>71</v>
      </c>
      <c r="W24" s="37"/>
      <c r="X24" s="37"/>
    </row>
    <row r="25" spans="1:24" ht="149.5" x14ac:dyDescent="0.35">
      <c r="A25" s="1"/>
      <c r="B25" s="31"/>
      <c r="C25" s="38" t="s">
        <v>53</v>
      </c>
      <c r="D25" s="62">
        <v>125</v>
      </c>
      <c r="E25" s="62">
        <v>125</v>
      </c>
      <c r="F25" s="62">
        <v>125</v>
      </c>
      <c r="G25" s="62">
        <v>125</v>
      </c>
      <c r="H25" s="40">
        <f>'[1]Final BUDGET'!$L$146</f>
        <v>372500</v>
      </c>
      <c r="I25" s="41">
        <v>339500</v>
      </c>
      <c r="J25" s="42">
        <f>'[1]Final BUDGET'!$O$146</f>
        <v>372500</v>
      </c>
      <c r="K25" s="76"/>
      <c r="L25" s="42">
        <f>'[1]Final BUDGET'!$R$146</f>
        <v>312500</v>
      </c>
      <c r="M25" s="41"/>
      <c r="N25" s="42">
        <f>'[1]Final BUDGET'!$U$146</f>
        <v>312500</v>
      </c>
      <c r="O25" s="41"/>
      <c r="P25" s="43">
        <v>148</v>
      </c>
      <c r="Q25" s="40"/>
      <c r="R25" s="40"/>
      <c r="S25" s="40"/>
      <c r="T25" s="40">
        <f>'[1]Final BUDGET'!$H$146</f>
        <v>1370000</v>
      </c>
      <c r="U25" s="40">
        <v>500</v>
      </c>
      <c r="V25" s="34">
        <f t="shared" si="0"/>
        <v>148</v>
      </c>
      <c r="W25" s="37"/>
      <c r="X25" s="37"/>
    </row>
    <row r="26" spans="1:24" ht="173" thickBot="1" x14ac:dyDescent="0.4">
      <c r="A26" s="1"/>
      <c r="B26" s="44"/>
      <c r="C26" s="45" t="s">
        <v>54</v>
      </c>
      <c r="D26" s="46"/>
      <c r="E26" s="46">
        <v>250</v>
      </c>
      <c r="F26" s="46"/>
      <c r="G26" s="46">
        <v>250</v>
      </c>
      <c r="H26" s="47"/>
      <c r="I26" s="48"/>
      <c r="J26" s="49">
        <f>'[1]Final BUDGET'!$O$150</f>
        <v>560000</v>
      </c>
      <c r="K26" s="48"/>
      <c r="L26" s="49"/>
      <c r="M26" s="48"/>
      <c r="N26" s="49">
        <f>'[1]Final BUDGET'!$T$150</f>
        <v>560000</v>
      </c>
      <c r="O26" s="48"/>
      <c r="P26" s="50"/>
      <c r="Q26" s="47"/>
      <c r="R26" s="47"/>
      <c r="S26" s="47"/>
      <c r="T26" s="47">
        <f>'[1]Final BUDGET'!$H$150</f>
        <v>1120000</v>
      </c>
      <c r="U26" s="47">
        <v>500</v>
      </c>
      <c r="V26" s="47">
        <f t="shared" si="0"/>
        <v>0</v>
      </c>
      <c r="W26" s="51"/>
      <c r="X26" s="51"/>
    </row>
    <row r="27" spans="1:24" ht="218.5" x14ac:dyDescent="0.35">
      <c r="A27" s="1"/>
      <c r="B27" s="77" t="s">
        <v>55</v>
      </c>
      <c r="C27" s="32" t="s">
        <v>56</v>
      </c>
      <c r="D27" s="67"/>
      <c r="E27" s="67">
        <v>125</v>
      </c>
      <c r="F27" s="67">
        <v>250</v>
      </c>
      <c r="G27" s="67">
        <v>125</v>
      </c>
      <c r="H27" s="34"/>
      <c r="I27" s="35"/>
      <c r="J27" s="36">
        <f>'[1]Final BUDGET'!$M$155</f>
        <v>288500</v>
      </c>
      <c r="K27" s="35"/>
      <c r="L27" s="36">
        <f>SUM('[1]Final BUDGET'!$P$155,'[1]Final BUDGET'!$R$155)</f>
        <v>550000</v>
      </c>
      <c r="M27" s="35"/>
      <c r="N27" s="36">
        <f>'[1]Final BUDGET'!$T$155</f>
        <v>261500</v>
      </c>
      <c r="O27" s="35"/>
      <c r="P27" s="60"/>
      <c r="Q27" s="34"/>
      <c r="R27" s="34"/>
      <c r="S27" s="34"/>
      <c r="T27" s="34">
        <f>'[1]Final BUDGET'!$H$155</f>
        <v>1100000</v>
      </c>
      <c r="U27" s="34">
        <v>500</v>
      </c>
      <c r="V27" s="34">
        <f t="shared" si="0"/>
        <v>0</v>
      </c>
      <c r="W27" s="37">
        <f>SUM(H27:H29,J27:J29,L27:L29,N27:N29)</f>
        <v>6168500</v>
      </c>
      <c r="X27" s="37">
        <f>SUM(I27:I28,K27:K28,M27:M28,O27:O28)</f>
        <v>0</v>
      </c>
    </row>
    <row r="28" spans="1:24" ht="149.5" x14ac:dyDescent="0.35">
      <c r="A28" s="1"/>
      <c r="B28" s="31"/>
      <c r="C28" s="38" t="s">
        <v>57</v>
      </c>
      <c r="D28" s="39"/>
      <c r="E28" s="39"/>
      <c r="F28" s="39">
        <v>27</v>
      </c>
      <c r="G28" s="39">
        <v>27</v>
      </c>
      <c r="H28" s="40"/>
      <c r="I28" s="41"/>
      <c r="J28" s="42">
        <f>SUM('[1]Final BUDGET'!$M$161,'[1]Final BUDGET'!$O$161)</f>
        <v>903500</v>
      </c>
      <c r="K28" s="41"/>
      <c r="L28" s="42">
        <f>'[1]Final BUDGET'!$Q$161</f>
        <v>454000</v>
      </c>
      <c r="M28" s="41"/>
      <c r="N28" s="42">
        <f>'[1]Final BUDGET'!$S$161</f>
        <v>454000</v>
      </c>
      <c r="O28" s="41"/>
      <c r="P28" s="43"/>
      <c r="Q28" s="40"/>
      <c r="R28" s="40"/>
      <c r="S28" s="40"/>
      <c r="T28" s="40">
        <f>'[1]Final BUDGET'!$H$161</f>
        <v>1811500</v>
      </c>
      <c r="U28" s="40">
        <v>600</v>
      </c>
      <c r="V28" s="34">
        <f t="shared" si="0"/>
        <v>0</v>
      </c>
      <c r="W28" s="37"/>
      <c r="X28" s="37"/>
    </row>
    <row r="29" spans="1:24" ht="15" thickBot="1" x14ac:dyDescent="0.4">
      <c r="A29" s="1"/>
      <c r="B29" s="44"/>
      <c r="C29" s="78" t="s">
        <v>58</v>
      </c>
      <c r="D29" s="79"/>
      <c r="E29" s="79"/>
      <c r="F29" s="79"/>
      <c r="G29" s="79"/>
      <c r="H29" s="80"/>
      <c r="I29" s="81"/>
      <c r="J29" s="82"/>
      <c r="K29" s="81"/>
      <c r="L29" s="82">
        <f>'[1]Final BUDGET'!$Q$169</f>
        <v>1628500</v>
      </c>
      <c r="M29" s="81"/>
      <c r="N29" s="82">
        <f>'[1]Final BUDGET'!$T$169</f>
        <v>1628500</v>
      </c>
      <c r="O29" s="81"/>
      <c r="P29" s="83"/>
      <c r="Q29" s="80"/>
      <c r="R29" s="80"/>
      <c r="S29" s="80"/>
      <c r="T29" s="80">
        <f>'[1]Final BUDGET'!$H$169</f>
        <v>3257000</v>
      </c>
      <c r="U29" s="80"/>
      <c r="V29" s="47">
        <f t="shared" si="0"/>
        <v>0</v>
      </c>
      <c r="W29" s="51"/>
      <c r="X29" s="51"/>
    </row>
    <row r="30" spans="1:24" ht="161" x14ac:dyDescent="0.35">
      <c r="A30" s="1"/>
      <c r="B30" s="77" t="s">
        <v>59</v>
      </c>
      <c r="C30" s="84" t="s">
        <v>60</v>
      </c>
      <c r="D30" s="85"/>
      <c r="E30" s="85">
        <v>13</v>
      </c>
      <c r="F30" s="85">
        <v>13</v>
      </c>
      <c r="G30" s="85">
        <v>24</v>
      </c>
      <c r="H30" s="86"/>
      <c r="I30" s="87"/>
      <c r="J30" s="88">
        <f>'[1]Final BUDGET'!$N$176</f>
        <v>305000</v>
      </c>
      <c r="K30" s="87"/>
      <c r="L30" s="88">
        <f>'[1]Final BUDGET'!$Q$176</f>
        <v>305000</v>
      </c>
      <c r="M30" s="87"/>
      <c r="N30" s="88">
        <f>SUM('[1]Final BUDGET'!$S$176,'[1]Final BUDGET'!$U$176)</f>
        <v>583000</v>
      </c>
      <c r="O30" s="87"/>
      <c r="P30" s="89"/>
      <c r="Q30" s="86"/>
      <c r="R30" s="86"/>
      <c r="S30" s="86"/>
      <c r="T30" s="86">
        <f>'[1]Final BUDGET'!$H$176</f>
        <v>1193000</v>
      </c>
      <c r="U30" s="86">
        <v>50</v>
      </c>
      <c r="V30" s="34">
        <f t="shared" si="0"/>
        <v>0</v>
      </c>
      <c r="W30" s="90">
        <f>SUM(H30:H32,J30:J32,L30:L32,N30:N32)</f>
        <v>4629200</v>
      </c>
      <c r="X30" s="90">
        <f>SUM(I30:I32,K30:K32,M30:M32,O30:O32)</f>
        <v>1049000</v>
      </c>
    </row>
    <row r="31" spans="1:24" ht="218.5" x14ac:dyDescent="0.35">
      <c r="A31" s="1"/>
      <c r="B31" s="31"/>
      <c r="C31" s="38" t="s">
        <v>61</v>
      </c>
      <c r="D31" s="39"/>
      <c r="E31" s="39">
        <v>13</v>
      </c>
      <c r="F31" s="39">
        <v>26</v>
      </c>
      <c r="G31" s="39">
        <v>11</v>
      </c>
      <c r="H31" s="40"/>
      <c r="I31" s="41"/>
      <c r="J31" s="42">
        <f>'[1]Final BUDGET'!$M$184</f>
        <v>378100</v>
      </c>
      <c r="K31" s="41"/>
      <c r="L31" s="42">
        <f>SUM('[1]Final BUDGET'!$P$184,'[1]Final BUDGET'!$R$184)</f>
        <v>560000</v>
      </c>
      <c r="M31" s="41"/>
      <c r="N31" s="42">
        <f>'[1]Final BUDGET'!$U$184</f>
        <v>378100</v>
      </c>
      <c r="O31" s="41"/>
      <c r="P31" s="43"/>
      <c r="Q31" s="40"/>
      <c r="R31" s="40"/>
      <c r="S31" s="40"/>
      <c r="T31" s="40">
        <f>'[1]Final BUDGET'!$H$184</f>
        <v>1316200</v>
      </c>
      <c r="U31" s="40">
        <v>50</v>
      </c>
      <c r="V31" s="34">
        <f t="shared" si="0"/>
        <v>0</v>
      </c>
      <c r="W31" s="37"/>
      <c r="X31" s="37"/>
    </row>
    <row r="32" spans="1:24" ht="207.5" thickBot="1" x14ac:dyDescent="0.4">
      <c r="A32" s="1"/>
      <c r="B32" s="44"/>
      <c r="C32" s="45" t="s">
        <v>62</v>
      </c>
      <c r="D32" s="65">
        <v>10</v>
      </c>
      <c r="E32" s="65"/>
      <c r="F32" s="65"/>
      <c r="G32" s="65">
        <v>10</v>
      </c>
      <c r="H32" s="47">
        <f>'[1]Final BUDGET'!$L$189</f>
        <v>1060000</v>
      </c>
      <c r="I32" s="48">
        <v>1049000</v>
      </c>
      <c r="J32" s="91"/>
      <c r="K32" s="48"/>
      <c r="L32" s="49"/>
      <c r="M32" s="48"/>
      <c r="N32" s="49">
        <f>'[1]Final BUDGET'!$T$189</f>
        <v>1060000</v>
      </c>
      <c r="O32" s="48"/>
      <c r="P32" s="50">
        <v>10</v>
      </c>
      <c r="Q32" s="47"/>
      <c r="R32" s="47"/>
      <c r="S32" s="47"/>
      <c r="T32" s="47">
        <f>'[1]Final BUDGET'!$H$189</f>
        <v>2120000</v>
      </c>
      <c r="U32" s="47">
        <v>20</v>
      </c>
      <c r="V32" s="47">
        <f t="shared" si="0"/>
        <v>10</v>
      </c>
      <c r="W32" s="51"/>
      <c r="X32" s="51"/>
    </row>
    <row r="33" spans="1:24" ht="103.5" x14ac:dyDescent="0.35">
      <c r="A33" s="1"/>
      <c r="B33" s="77" t="s">
        <v>63</v>
      </c>
      <c r="C33" s="84" t="s">
        <v>64</v>
      </c>
      <c r="D33" s="85"/>
      <c r="E33" s="85">
        <v>10</v>
      </c>
      <c r="F33" s="85">
        <v>10</v>
      </c>
      <c r="G33" s="85"/>
      <c r="H33" s="86"/>
      <c r="I33" s="87"/>
      <c r="J33" s="88">
        <f>'[1]Final BUDGET'!$N$201</f>
        <v>211500</v>
      </c>
      <c r="K33" s="87"/>
      <c r="L33" s="88">
        <f>'[1]Final BUDGET'!$Q$201</f>
        <v>238500</v>
      </c>
      <c r="M33" s="87"/>
      <c r="N33" s="88"/>
      <c r="O33" s="87"/>
      <c r="P33" s="89"/>
      <c r="Q33" s="86"/>
      <c r="R33" s="86"/>
      <c r="S33" s="86"/>
      <c r="T33" s="86">
        <f>'[1]Final BUDGET'!$H$201</f>
        <v>450000</v>
      </c>
      <c r="U33" s="86">
        <v>20</v>
      </c>
      <c r="V33" s="34">
        <f t="shared" si="0"/>
        <v>0</v>
      </c>
      <c r="W33" s="90">
        <f>SUM(H33:H34,J33:J34,L33:L34,N33:N34)</f>
        <v>504000</v>
      </c>
      <c r="X33" s="90">
        <f>SUM(I33:I34,K33:K34,M33:M34,O33:O34)</f>
        <v>0</v>
      </c>
    </row>
    <row r="34" spans="1:24" ht="138.5" thickBot="1" x14ac:dyDescent="0.4">
      <c r="A34" s="1"/>
      <c r="B34" s="44"/>
      <c r="C34" s="45" t="s">
        <v>65</v>
      </c>
      <c r="D34" s="46"/>
      <c r="E34" s="46"/>
      <c r="F34" s="46">
        <v>20</v>
      </c>
      <c r="G34" s="46"/>
      <c r="H34" s="47"/>
      <c r="I34" s="48"/>
      <c r="J34" s="49"/>
      <c r="K34" s="48"/>
      <c r="L34" s="49">
        <f>'[1]Final BUDGET'!$Q$204</f>
        <v>54000</v>
      </c>
      <c r="M34" s="92"/>
      <c r="N34" s="49"/>
      <c r="O34" s="48"/>
      <c r="P34" s="50"/>
      <c r="Q34" s="47"/>
      <c r="R34" s="47"/>
      <c r="S34" s="47"/>
      <c r="T34" s="47">
        <f>'[1]Final BUDGET'!$H$204</f>
        <v>54000</v>
      </c>
      <c r="U34" s="47">
        <v>20</v>
      </c>
      <c r="V34" s="47">
        <f t="shared" si="0"/>
        <v>0</v>
      </c>
      <c r="W34" s="51"/>
      <c r="X34" s="51"/>
    </row>
    <row r="35" spans="1:24" ht="115" x14ac:dyDescent="0.35">
      <c r="A35" s="1"/>
      <c r="B35" s="93" t="s">
        <v>66</v>
      </c>
      <c r="C35" s="93"/>
      <c r="D35" s="94"/>
      <c r="E35" s="94"/>
      <c r="F35" s="94"/>
      <c r="G35" s="94"/>
      <c r="H35" s="95"/>
      <c r="I35" s="96"/>
      <c r="J35" s="97"/>
      <c r="K35" s="96"/>
      <c r="L35" s="97"/>
      <c r="M35" s="96"/>
      <c r="N35" s="97"/>
      <c r="O35" s="96"/>
      <c r="P35" s="98"/>
      <c r="Q35" s="95"/>
      <c r="R35" s="95"/>
      <c r="S35" s="95"/>
      <c r="T35" s="95"/>
      <c r="U35" s="95"/>
      <c r="V35" s="95"/>
      <c r="W35" s="95"/>
      <c r="X35" s="95"/>
    </row>
    <row r="36" spans="1:24" ht="184" x14ac:dyDescent="0.35">
      <c r="A36" s="1"/>
      <c r="B36" s="99" t="s">
        <v>67</v>
      </c>
      <c r="C36" s="38" t="s">
        <v>68</v>
      </c>
      <c r="D36" s="39"/>
      <c r="E36" s="39">
        <v>125</v>
      </c>
      <c r="F36" s="39">
        <v>250</v>
      </c>
      <c r="G36" s="39">
        <v>125</v>
      </c>
      <c r="H36" s="40"/>
      <c r="I36" s="41"/>
      <c r="J36" s="42">
        <f>'[1]Final BUDGET'!$M$213</f>
        <v>355000</v>
      </c>
      <c r="K36" s="41"/>
      <c r="L36" s="42">
        <f>SUM('[1]Final BUDGET'!$P$213,'[1]Final BUDGET'!$R$213)</f>
        <v>590000</v>
      </c>
      <c r="M36" s="41"/>
      <c r="N36" s="42">
        <f>'[1]Final BUDGET'!$T$213</f>
        <v>295000</v>
      </c>
      <c r="O36" s="41"/>
      <c r="P36" s="43"/>
      <c r="Q36" s="40"/>
      <c r="R36" s="40"/>
      <c r="S36" s="40"/>
      <c r="T36" s="40">
        <f>'[1]Final BUDGET'!$H$213</f>
        <v>1240000</v>
      </c>
      <c r="U36" s="40">
        <v>500</v>
      </c>
      <c r="V36" s="34">
        <f t="shared" si="0"/>
        <v>0</v>
      </c>
      <c r="W36" s="100">
        <f>SUM(H36:H39,J36:J39,L36:L39,N36:N39)</f>
        <v>16544000</v>
      </c>
      <c r="X36" s="101">
        <f>SUM(I36:I38,K36:K38,M36:M38,O36:O38)</f>
        <v>873210</v>
      </c>
    </row>
    <row r="37" spans="1:24" ht="184" x14ac:dyDescent="0.35">
      <c r="A37" s="1"/>
      <c r="B37" s="31"/>
      <c r="C37" s="38" t="s">
        <v>69</v>
      </c>
      <c r="D37" s="102">
        <v>60</v>
      </c>
      <c r="E37" s="102">
        <v>180</v>
      </c>
      <c r="F37" s="102">
        <v>180</v>
      </c>
      <c r="G37" s="102">
        <v>180</v>
      </c>
      <c r="H37" s="40">
        <f>'[1]Final BUDGET'!$L$224</f>
        <v>1040000</v>
      </c>
      <c r="I37" s="41">
        <v>873210</v>
      </c>
      <c r="J37" s="42">
        <f>SUM('[1]Final BUDGET'!$M$224:$O$224)</f>
        <v>3720000</v>
      </c>
      <c r="K37" s="76"/>
      <c r="L37" s="42">
        <f>SUM('[1]Final BUDGET'!$P$224:$R$224)</f>
        <v>3120000</v>
      </c>
      <c r="M37" s="41"/>
      <c r="N37" s="42">
        <f>SUM('[1]Final BUDGET'!$S$224:$U$224)</f>
        <v>3120000</v>
      </c>
      <c r="O37" s="41"/>
      <c r="P37" s="43"/>
      <c r="Q37" s="40"/>
      <c r="R37" s="40"/>
      <c r="S37" s="40"/>
      <c r="T37" s="40">
        <f>'[1]Final BUDGET'!$H$224</f>
        <v>11000000</v>
      </c>
      <c r="U37" s="40">
        <v>600</v>
      </c>
      <c r="V37" s="34">
        <f t="shared" si="0"/>
        <v>0</v>
      </c>
      <c r="W37" s="100"/>
      <c r="X37" s="37"/>
    </row>
    <row r="38" spans="1:24" ht="230" x14ac:dyDescent="0.35">
      <c r="A38" s="1"/>
      <c r="B38" s="31"/>
      <c r="C38" s="38" t="s">
        <v>70</v>
      </c>
      <c r="D38" s="62"/>
      <c r="E38" s="62">
        <v>125</v>
      </c>
      <c r="F38" s="62">
        <v>250</v>
      </c>
      <c r="G38" s="62">
        <v>125</v>
      </c>
      <c r="H38" s="40"/>
      <c r="I38" s="41"/>
      <c r="J38" s="42">
        <f>'[1]Final BUDGET'!$M$230</f>
        <v>517000</v>
      </c>
      <c r="K38" s="41"/>
      <c r="L38" s="42">
        <f>SUM('[1]Final BUDGET'!$P$230,'[1]Final BUDGET'!$R$230)</f>
        <v>1007000</v>
      </c>
      <c r="M38" s="41"/>
      <c r="N38" s="42">
        <f>'[1]Final BUDGET'!$T$230</f>
        <v>490000</v>
      </c>
      <c r="O38" s="41"/>
      <c r="P38" s="43">
        <v>60</v>
      </c>
      <c r="Q38" s="40"/>
      <c r="R38" s="40"/>
      <c r="S38" s="40"/>
      <c r="T38" s="40">
        <f>'[1]Final BUDGET'!$H$230</f>
        <v>2014000</v>
      </c>
      <c r="U38" s="40">
        <v>500</v>
      </c>
      <c r="V38" s="34">
        <f t="shared" si="0"/>
        <v>60</v>
      </c>
      <c r="W38" s="100"/>
      <c r="X38" s="37"/>
    </row>
    <row r="39" spans="1:24" ht="138.5" thickBot="1" x14ac:dyDescent="0.4">
      <c r="A39" s="1"/>
      <c r="B39" s="44"/>
      <c r="C39" s="53" t="s">
        <v>71</v>
      </c>
      <c r="D39" s="103"/>
      <c r="E39" s="103">
        <v>125</v>
      </c>
      <c r="F39" s="103">
        <v>250</v>
      </c>
      <c r="G39" s="103">
        <v>125</v>
      </c>
      <c r="H39" s="55"/>
      <c r="I39" s="56"/>
      <c r="J39" s="57">
        <f>'[1]Final BUDGET'!$M$237</f>
        <v>572500</v>
      </c>
      <c r="K39" s="56"/>
      <c r="L39" s="57">
        <f>SUM('[1]Final BUDGET'!$P$237,'[1]Final BUDGET'!$R$237)</f>
        <v>1145000</v>
      </c>
      <c r="M39" s="56"/>
      <c r="N39" s="57">
        <f>'[1]Final BUDGET'!$T$237</f>
        <v>572500</v>
      </c>
      <c r="O39" s="56"/>
      <c r="P39" s="58"/>
      <c r="Q39" s="55"/>
      <c r="R39" s="55"/>
      <c r="S39" s="55"/>
      <c r="T39" s="55">
        <f>'[1]Final BUDGET'!$H$237</f>
        <v>2290000</v>
      </c>
      <c r="U39" s="55"/>
      <c r="V39" s="47">
        <f t="shared" si="0"/>
        <v>0</v>
      </c>
      <c r="W39" s="55"/>
      <c r="X39" s="51"/>
    </row>
    <row r="40" spans="1:24" ht="161" x14ac:dyDescent="0.35">
      <c r="A40" s="1"/>
      <c r="B40" s="77" t="s">
        <v>72</v>
      </c>
      <c r="C40" s="78" t="s">
        <v>73</v>
      </c>
      <c r="D40" s="104">
        <v>99</v>
      </c>
      <c r="E40" s="104">
        <v>98</v>
      </c>
      <c r="F40" s="104">
        <v>99</v>
      </c>
      <c r="G40" s="104">
        <v>98</v>
      </c>
      <c r="H40" s="105">
        <f>'[1]Final BUDGET'!$L$244</f>
        <v>367736.5</v>
      </c>
      <c r="I40" s="81">
        <v>232000</v>
      </c>
      <c r="J40" s="106">
        <f>'[1]Final BUDGET'!$O$244</f>
        <v>307736.5</v>
      </c>
      <c r="K40" s="107"/>
      <c r="L40" s="106">
        <f>'[1]Final BUDGET'!$R$244</f>
        <v>367736.5</v>
      </c>
      <c r="M40" s="81"/>
      <c r="N40" s="106">
        <f>'[1]Final BUDGET'!$T$244</f>
        <v>307736.5</v>
      </c>
      <c r="O40" s="81"/>
      <c r="P40" s="83">
        <v>99</v>
      </c>
      <c r="Q40" s="80"/>
      <c r="R40" s="80"/>
      <c r="S40" s="80"/>
      <c r="T40" s="105">
        <f>'[1]Final BUDGET'!$H$244</f>
        <v>1350946</v>
      </c>
      <c r="U40" s="80"/>
      <c r="V40" s="34">
        <f t="shared" si="0"/>
        <v>99</v>
      </c>
      <c r="W40" s="90">
        <f>SUM(H40:H42,J40:J42,L40:L42,N40:N42)</f>
        <v>3975026</v>
      </c>
      <c r="X40" s="90">
        <f>SUM(I41,K41,M41,O41)</f>
        <v>0</v>
      </c>
    </row>
    <row r="41" spans="1:24" ht="115" x14ac:dyDescent="0.35">
      <c r="A41" s="1"/>
      <c r="B41" s="31"/>
      <c r="C41" s="38" t="s">
        <v>74</v>
      </c>
      <c r="D41" s="39"/>
      <c r="E41" s="39">
        <v>99</v>
      </c>
      <c r="F41" s="39">
        <v>98</v>
      </c>
      <c r="G41" s="39">
        <v>197</v>
      </c>
      <c r="H41" s="108"/>
      <c r="I41" s="41"/>
      <c r="J41" s="109">
        <f>'[1]Final BUDGET'!$M$250</f>
        <v>425080</v>
      </c>
      <c r="K41" s="41"/>
      <c r="L41" s="109">
        <f>'[1]Final BUDGET'!$P$250</f>
        <v>397000</v>
      </c>
      <c r="M41" s="41"/>
      <c r="N41" s="109">
        <f>SUM('[1]Final BUDGET'!$S$250,'[1]Final BUDGET'!$U$250)</f>
        <v>794000</v>
      </c>
      <c r="O41" s="41"/>
      <c r="P41" s="43"/>
      <c r="Q41" s="40"/>
      <c r="R41" s="40"/>
      <c r="S41" s="40"/>
      <c r="T41" s="110">
        <f>'[1]Final BUDGET'!$H$250</f>
        <v>1616080</v>
      </c>
      <c r="U41" s="40">
        <v>394</v>
      </c>
      <c r="V41" s="34">
        <f t="shared" si="0"/>
        <v>0</v>
      </c>
      <c r="W41" s="37"/>
      <c r="X41" s="37"/>
    </row>
    <row r="42" spans="1:24" ht="115.5" thickBot="1" x14ac:dyDescent="0.4">
      <c r="A42" s="1"/>
      <c r="B42" s="44"/>
      <c r="C42" s="78" t="s">
        <v>75</v>
      </c>
      <c r="D42" s="79"/>
      <c r="E42" s="111">
        <v>197</v>
      </c>
      <c r="F42" s="111">
        <v>99</v>
      </c>
      <c r="G42" s="111">
        <v>98</v>
      </c>
      <c r="H42" s="112"/>
      <c r="I42" s="81"/>
      <c r="J42" s="113">
        <f>SUM('[1]Final BUDGET'!$M$256,'[1]Final BUDGET'!$O$256)</f>
        <v>504000</v>
      </c>
      <c r="K42" s="81"/>
      <c r="L42" s="113">
        <f>'[1]Final BUDGET'!$Q$256</f>
        <v>197000</v>
      </c>
      <c r="M42" s="81"/>
      <c r="N42" s="113">
        <f>'[1]Final BUDGET'!$S$256</f>
        <v>307000</v>
      </c>
      <c r="O42" s="81"/>
      <c r="P42" s="83"/>
      <c r="Q42" s="80"/>
      <c r="R42" s="80"/>
      <c r="S42" s="80"/>
      <c r="T42" s="114">
        <f>'[1]Final BUDGET'!$H$256</f>
        <v>1008000</v>
      </c>
      <c r="U42" s="80"/>
      <c r="V42" s="47">
        <f t="shared" si="0"/>
        <v>0</v>
      </c>
      <c r="W42" s="51"/>
      <c r="X42" s="51"/>
    </row>
    <row r="43" spans="1:24" ht="80.5" x14ac:dyDescent="0.35">
      <c r="A43" s="1"/>
      <c r="B43" s="77" t="s">
        <v>76</v>
      </c>
      <c r="C43" s="84" t="s">
        <v>77</v>
      </c>
      <c r="D43" s="85"/>
      <c r="E43" s="85">
        <v>99</v>
      </c>
      <c r="F43" s="85">
        <v>197</v>
      </c>
      <c r="G43" s="85">
        <v>98</v>
      </c>
      <c r="H43" s="86"/>
      <c r="I43" s="87"/>
      <c r="J43" s="88">
        <f>'[1]Final BUDGET'!$M$263</f>
        <v>290500</v>
      </c>
      <c r="K43" s="87"/>
      <c r="L43" s="88">
        <f>SUM('[1]Final BUDGET'!$P$263,'[1]Final BUDGET'!$R$263)</f>
        <v>537500</v>
      </c>
      <c r="M43" s="87"/>
      <c r="N43" s="88">
        <f>'[1]Final BUDGET'!$U$263</f>
        <v>247000</v>
      </c>
      <c r="O43" s="87"/>
      <c r="P43" s="89"/>
      <c r="Q43" s="86"/>
      <c r="R43" s="86"/>
      <c r="S43" s="86"/>
      <c r="T43" s="86">
        <f>'[1]Final BUDGET'!$H$263</f>
        <v>1075000</v>
      </c>
      <c r="U43" s="86">
        <v>394</v>
      </c>
      <c r="V43" s="34">
        <f t="shared" si="0"/>
        <v>0</v>
      </c>
      <c r="W43" s="90">
        <f>SUM(H43:H45,J43:J45,L43:L45,N43:N45)</f>
        <v>12986000</v>
      </c>
      <c r="X43" s="90">
        <f>SUM(I43:I44,K43:K44,M43:M44,O43:O44)</f>
        <v>0</v>
      </c>
    </row>
    <row r="44" spans="1:24" ht="126.5" x14ac:dyDescent="0.35">
      <c r="A44" s="1"/>
      <c r="B44" s="31"/>
      <c r="C44" s="115" t="s">
        <v>78</v>
      </c>
      <c r="D44" s="116"/>
      <c r="E44" s="116">
        <v>197</v>
      </c>
      <c r="F44" s="116"/>
      <c r="G44" s="116">
        <v>197</v>
      </c>
      <c r="H44" s="117"/>
      <c r="I44" s="118"/>
      <c r="J44" s="119">
        <f>'[1]Final BUDGET'!$N$267</f>
        <v>93000</v>
      </c>
      <c r="K44" s="118"/>
      <c r="L44" s="119"/>
      <c r="M44" s="118"/>
      <c r="N44" s="119">
        <f>'[1]Final BUDGET'!$S$267</f>
        <v>93000</v>
      </c>
      <c r="O44" s="118"/>
      <c r="P44" s="120"/>
      <c r="Q44" s="117"/>
      <c r="R44" s="117"/>
      <c r="S44" s="117"/>
      <c r="T44" s="117">
        <f>'[1]Final BUDGET'!$H$267</f>
        <v>186000</v>
      </c>
      <c r="U44" s="117">
        <v>394</v>
      </c>
      <c r="V44" s="34">
        <f t="shared" si="0"/>
        <v>0</v>
      </c>
      <c r="W44" s="37"/>
      <c r="X44" s="37"/>
    </row>
    <row r="45" spans="1:24" ht="138" x14ac:dyDescent="0.35">
      <c r="A45" s="1"/>
      <c r="B45" s="31"/>
      <c r="C45" s="115" t="s">
        <v>79</v>
      </c>
      <c r="D45" s="116"/>
      <c r="E45" s="116">
        <v>197</v>
      </c>
      <c r="F45" s="116">
        <v>99</v>
      </c>
      <c r="G45" s="116">
        <v>98</v>
      </c>
      <c r="H45" s="117"/>
      <c r="I45" s="118"/>
      <c r="J45" s="119">
        <f>SUM('[1]Final BUDGET'!$M$276,'[1]Final BUDGET'!$O$276)</f>
        <v>8862500</v>
      </c>
      <c r="K45" s="118"/>
      <c r="L45" s="119">
        <f>'[1]Final BUDGET'!$R$276</f>
        <v>1431250</v>
      </c>
      <c r="M45" s="118"/>
      <c r="N45" s="119">
        <f>'[1]Final BUDGET'!$U$276</f>
        <v>1431250</v>
      </c>
      <c r="O45" s="118"/>
      <c r="P45" s="120"/>
      <c r="Q45" s="117"/>
      <c r="R45" s="117"/>
      <c r="S45" s="117"/>
      <c r="T45" s="117">
        <f>'[1]Final BUDGET'!$H$276</f>
        <v>11725000</v>
      </c>
      <c r="U45" s="117"/>
      <c r="V45" s="34">
        <f t="shared" si="0"/>
        <v>0</v>
      </c>
      <c r="W45" s="37"/>
      <c r="X45" s="121"/>
    </row>
    <row r="46" spans="1:24" ht="69" x14ac:dyDescent="0.35">
      <c r="A46" s="1"/>
      <c r="B46" s="61" t="s">
        <v>80</v>
      </c>
      <c r="C46" s="38" t="s">
        <v>81</v>
      </c>
      <c r="D46" s="62">
        <v>1</v>
      </c>
      <c r="E46" s="62">
        <v>3</v>
      </c>
      <c r="F46" s="62">
        <v>3</v>
      </c>
      <c r="G46" s="62">
        <v>3</v>
      </c>
      <c r="H46" s="40">
        <f>'[1]Final BUDGET'!$L$286</f>
        <v>288000</v>
      </c>
      <c r="I46" s="41">
        <v>244400</v>
      </c>
      <c r="J46" s="42">
        <f>SUM('[1]Final BUDGET'!$M$286,'[1]Final BUDGET'!$N$286,'[1]Final BUDGET'!$O$286)</f>
        <v>864000</v>
      </c>
      <c r="K46" s="76"/>
      <c r="L46" s="42">
        <f>SUM('[1]Final BUDGET'!$P$286,'[1]Final BUDGET'!$Q$286,'[1]Final BUDGET'!$R$286)</f>
        <v>864000</v>
      </c>
      <c r="M46" s="41"/>
      <c r="N46" s="42">
        <f>SUM('[1]Final BUDGET'!$S$286,'[1]Final BUDGET'!$T$286,'[1]Final BUDGET'!$U$286)</f>
        <v>864000</v>
      </c>
      <c r="O46" s="41"/>
      <c r="P46" s="43"/>
      <c r="Q46" s="40"/>
      <c r="R46" s="40"/>
      <c r="S46" s="40"/>
      <c r="T46" s="40">
        <f>'[1]Final BUDGET'!$H$286</f>
        <v>2880000</v>
      </c>
      <c r="U46" s="40"/>
      <c r="V46" s="34">
        <f t="shared" si="0"/>
        <v>0</v>
      </c>
      <c r="W46" s="100">
        <f>SUM(H46:H50,J46:J50,L46:L50,N46:N50)</f>
        <v>19871180</v>
      </c>
      <c r="X46" s="101"/>
    </row>
    <row r="47" spans="1:24" ht="126.5" x14ac:dyDescent="0.35">
      <c r="A47" s="1"/>
      <c r="B47" s="61"/>
      <c r="C47" s="38" t="s">
        <v>82</v>
      </c>
      <c r="D47" s="62">
        <v>1</v>
      </c>
      <c r="E47" s="62">
        <v>1</v>
      </c>
      <c r="F47" s="62">
        <v>1</v>
      </c>
      <c r="G47" s="62">
        <v>1</v>
      </c>
      <c r="H47" s="40">
        <f>'[1]Final BUDGET'!$L$296</f>
        <v>1212375</v>
      </c>
      <c r="I47" s="41">
        <v>0</v>
      </c>
      <c r="J47" s="42">
        <f>'[1]Final BUDGET'!$O$296</f>
        <v>1212375</v>
      </c>
      <c r="K47" s="41"/>
      <c r="L47" s="42">
        <f>'[1]Final BUDGET'!$R$296</f>
        <v>1212375</v>
      </c>
      <c r="M47" s="41"/>
      <c r="N47" s="42">
        <f>'[1]Final BUDGET'!$U$296</f>
        <v>1212375</v>
      </c>
      <c r="O47" s="41"/>
      <c r="P47" s="43"/>
      <c r="Q47" s="40"/>
      <c r="R47" s="40"/>
      <c r="S47" s="40"/>
      <c r="T47" s="40">
        <f>'[1]Final BUDGET'!$H$296</f>
        <v>4849500</v>
      </c>
      <c r="U47" s="40"/>
      <c r="V47" s="34">
        <f t="shared" si="0"/>
        <v>0</v>
      </c>
      <c r="W47" s="100"/>
      <c r="X47" s="37"/>
    </row>
    <row r="48" spans="1:24" ht="103.5" x14ac:dyDescent="0.35">
      <c r="A48" s="1"/>
      <c r="B48" s="61"/>
      <c r="C48" s="38" t="s">
        <v>83</v>
      </c>
      <c r="D48" s="62">
        <v>48</v>
      </c>
      <c r="E48" s="62">
        <v>48</v>
      </c>
      <c r="F48" s="62">
        <v>48</v>
      </c>
      <c r="G48" s="62">
        <v>48</v>
      </c>
      <c r="H48" s="40">
        <f>'[1]Final BUDGET'!$L$302</f>
        <v>2172000</v>
      </c>
      <c r="I48" s="41">
        <v>2463500</v>
      </c>
      <c r="J48" s="42">
        <f>'[1]Final BUDGET'!$O$302</f>
        <v>2172000</v>
      </c>
      <c r="K48" s="41"/>
      <c r="L48" s="42">
        <f>'[1]Final BUDGET'!$O$302</f>
        <v>2172000</v>
      </c>
      <c r="M48" s="41"/>
      <c r="N48" s="42">
        <f>'[1]Final BUDGET'!$R$302</f>
        <v>2172000</v>
      </c>
      <c r="O48" s="41"/>
      <c r="P48" s="43">
        <v>34</v>
      </c>
      <c r="Q48" s="40"/>
      <c r="R48" s="40"/>
      <c r="S48" s="40"/>
      <c r="T48" s="40">
        <f>'[1]Final BUDGET'!$H$302</f>
        <v>8688000</v>
      </c>
      <c r="U48" s="40"/>
      <c r="V48" s="34">
        <f t="shared" si="0"/>
        <v>34</v>
      </c>
      <c r="W48" s="100"/>
      <c r="X48" s="37"/>
    </row>
    <row r="49" spans="1:24" ht="57.5" x14ac:dyDescent="0.35">
      <c r="A49" s="1"/>
      <c r="B49" s="61"/>
      <c r="C49" s="38" t="s">
        <v>84</v>
      </c>
      <c r="D49" s="39"/>
      <c r="E49" s="39">
        <v>18</v>
      </c>
      <c r="F49" s="39"/>
      <c r="G49" s="39"/>
      <c r="H49" s="40"/>
      <c r="I49" s="41"/>
      <c r="J49" s="42">
        <f>'[1]Final BUDGET'!$M$308</f>
        <v>1327500</v>
      </c>
      <c r="K49" s="41"/>
      <c r="L49" s="42"/>
      <c r="M49" s="41"/>
      <c r="N49" s="42"/>
      <c r="O49" s="41"/>
      <c r="P49" s="43"/>
      <c r="Q49" s="40"/>
      <c r="R49" s="40"/>
      <c r="S49" s="40"/>
      <c r="T49" s="40">
        <f>'[1]Final BUDGET'!$H$308</f>
        <v>1327500</v>
      </c>
      <c r="U49" s="40"/>
      <c r="V49" s="34">
        <f t="shared" si="0"/>
        <v>0</v>
      </c>
      <c r="W49" s="100"/>
      <c r="X49" s="37"/>
    </row>
    <row r="50" spans="1:24" ht="81" thickBot="1" x14ac:dyDescent="0.4">
      <c r="A50" s="1"/>
      <c r="B50" s="64"/>
      <c r="C50" s="45" t="s">
        <v>85</v>
      </c>
      <c r="D50" s="46"/>
      <c r="E50" s="46">
        <v>2</v>
      </c>
      <c r="F50" s="46">
        <v>1</v>
      </c>
      <c r="G50" s="46">
        <v>1</v>
      </c>
      <c r="H50" s="47">
        <f>'[1]Final BUDGET'!$L$315</f>
        <v>531545</v>
      </c>
      <c r="I50" s="48">
        <v>0</v>
      </c>
      <c r="J50" s="49">
        <f>'[1]Final BUDGET'!$O$315</f>
        <v>531545</v>
      </c>
      <c r="K50" s="48"/>
      <c r="L50" s="49">
        <f>'[1]Final BUDGET'!$R$315</f>
        <v>531545</v>
      </c>
      <c r="M50" s="48"/>
      <c r="N50" s="49">
        <f>'[1]Final BUDGET'!$U$315</f>
        <v>531545</v>
      </c>
      <c r="O50" s="48"/>
      <c r="P50" s="50"/>
      <c r="Q50" s="47"/>
      <c r="R50" s="47"/>
      <c r="S50" s="47"/>
      <c r="T50" s="47">
        <f>'[1]Final BUDGET'!$H$315</f>
        <v>2126180</v>
      </c>
      <c r="U50" s="47"/>
      <c r="V50" s="47">
        <f>SUM(P50:S50)</f>
        <v>0</v>
      </c>
      <c r="W50" s="122"/>
      <c r="X50" s="51"/>
    </row>
  </sheetData>
  <mergeCells count="46">
    <mergeCell ref="B46:B50"/>
    <mergeCell ref="W46:W50"/>
    <mergeCell ref="X46:X50"/>
    <mergeCell ref="B40:B42"/>
    <mergeCell ref="W40:W42"/>
    <mergeCell ref="X40:X42"/>
    <mergeCell ref="B43:B45"/>
    <mergeCell ref="W43:W45"/>
    <mergeCell ref="X43:X45"/>
    <mergeCell ref="B33:B34"/>
    <mergeCell ref="W33:W34"/>
    <mergeCell ref="X33:X34"/>
    <mergeCell ref="B36:B39"/>
    <mergeCell ref="W36:W38"/>
    <mergeCell ref="X36:X39"/>
    <mergeCell ref="B27:B29"/>
    <mergeCell ref="W27:W29"/>
    <mergeCell ref="X27:X29"/>
    <mergeCell ref="B30:B32"/>
    <mergeCell ref="W30:W32"/>
    <mergeCell ref="X30:X32"/>
    <mergeCell ref="B19:B20"/>
    <mergeCell ref="W19:W20"/>
    <mergeCell ref="X19:X20"/>
    <mergeCell ref="B22:B26"/>
    <mergeCell ref="W22:W26"/>
    <mergeCell ref="X22:X26"/>
    <mergeCell ref="B13:B14"/>
    <mergeCell ref="W13:W14"/>
    <mergeCell ref="X13:X14"/>
    <mergeCell ref="B15:B18"/>
    <mergeCell ref="W15:W18"/>
    <mergeCell ref="X15:X18"/>
    <mergeCell ref="T1:X1"/>
    <mergeCell ref="B5:B8"/>
    <mergeCell ref="W5:W8"/>
    <mergeCell ref="X5:X8"/>
    <mergeCell ref="B10:B12"/>
    <mergeCell ref="W10:W12"/>
    <mergeCell ref="X10:X12"/>
    <mergeCell ref="D1:G1"/>
    <mergeCell ref="H1:I1"/>
    <mergeCell ref="J1:K1"/>
    <mergeCell ref="L1:M1"/>
    <mergeCell ref="N1:O1"/>
    <mergeCell ref="P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B650-5F4C-48C2-AF3C-D5A3E301C2E5}">
  <dimension ref="A1:BG284"/>
  <sheetViews>
    <sheetView workbookViewId="0">
      <selection sqref="A1:XFD1048576"/>
    </sheetView>
  </sheetViews>
  <sheetFormatPr defaultColWidth="6.54296875" defaultRowHeight="11.5" customHeight="1" x14ac:dyDescent="0.35"/>
  <cols>
    <col min="1" max="1" width="5.1796875" customWidth="1"/>
    <col min="2" max="2" width="1.08984375" customWidth="1"/>
    <col min="4" max="4" width="4.90625" customWidth="1"/>
    <col min="9" max="9" width="4" customWidth="1"/>
    <col min="10" max="10" width="4.08984375" customWidth="1"/>
    <col min="11" max="11" width="0.90625" customWidth="1"/>
    <col min="12" max="12" width="1.6328125" style="131" customWidth="1"/>
    <col min="14" max="14" width="6.54296875" style="131"/>
    <col min="19" max="19" width="3.90625" customWidth="1"/>
    <col min="20" max="20" width="7" style="131" customWidth="1"/>
    <col min="21" max="21" width="0.81640625" style="131" customWidth="1"/>
    <col min="22" max="22" width="6.81640625" style="131" customWidth="1"/>
    <col min="23" max="23" width="1.54296875" style="131" customWidth="1"/>
    <col min="24" max="29" width="6.54296875" style="131"/>
    <col min="38" max="38" width="8" customWidth="1"/>
    <col min="39" max="39" width="4.81640625" customWidth="1"/>
  </cols>
  <sheetData>
    <row r="1" spans="1:56" ht="18.5" x14ac:dyDescent="0.35">
      <c r="A1" s="123" t="s">
        <v>6</v>
      </c>
      <c r="B1" s="124" t="s">
        <v>86</v>
      </c>
      <c r="C1" s="124"/>
      <c r="D1" s="124"/>
      <c r="E1" s="124"/>
      <c r="F1" s="124"/>
      <c r="G1" s="124"/>
      <c r="H1" s="124"/>
      <c r="I1" s="124"/>
      <c r="J1" s="124"/>
      <c r="K1" s="125"/>
      <c r="L1" s="126" t="s">
        <v>31</v>
      </c>
      <c r="M1" s="126"/>
      <c r="N1" s="126"/>
      <c r="O1" s="126"/>
      <c r="P1" s="126"/>
      <c r="Q1" s="126"/>
      <c r="R1" s="126"/>
      <c r="S1" s="126"/>
      <c r="T1" s="126"/>
      <c r="U1" s="127"/>
      <c r="V1" s="128" t="s">
        <v>33</v>
      </c>
      <c r="W1" s="128"/>
      <c r="X1" s="128"/>
      <c r="Y1" s="128"/>
      <c r="Z1" s="128"/>
      <c r="AA1" s="128"/>
      <c r="AB1" s="128"/>
      <c r="AC1" s="128"/>
      <c r="AD1" s="128"/>
      <c r="AE1" s="128"/>
      <c r="AF1" s="129"/>
      <c r="AG1" s="130"/>
      <c r="AH1" s="130"/>
      <c r="AI1" s="130"/>
      <c r="AJ1" s="130"/>
      <c r="AK1" s="130"/>
      <c r="AL1" s="130"/>
      <c r="AM1" s="131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</row>
    <row r="2" spans="1:56" ht="18.5" x14ac:dyDescent="0.35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7"/>
      <c r="L2" s="126"/>
      <c r="M2" s="126"/>
      <c r="N2" s="126"/>
      <c r="O2" s="126"/>
      <c r="P2" s="126"/>
      <c r="Q2" s="126"/>
      <c r="R2" s="126"/>
      <c r="S2" s="126"/>
      <c r="T2" s="126"/>
      <c r="U2" s="127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9"/>
      <c r="AG2" s="130"/>
      <c r="AH2" s="130"/>
      <c r="AI2" s="130"/>
      <c r="AJ2" s="130"/>
      <c r="AK2" s="130"/>
      <c r="AL2" s="130"/>
      <c r="AM2" s="131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</row>
    <row r="3" spans="1:56" ht="18.5" x14ac:dyDescent="0.35">
      <c r="A3" s="123"/>
      <c r="B3" s="133"/>
      <c r="C3" s="133"/>
      <c r="D3" s="133"/>
      <c r="E3" s="133"/>
      <c r="F3" s="133"/>
      <c r="G3" s="133"/>
      <c r="H3" s="133"/>
      <c r="I3" s="133"/>
      <c r="J3" s="133"/>
      <c r="K3" s="127"/>
      <c r="L3" s="134"/>
      <c r="M3" s="134"/>
      <c r="N3" s="134"/>
      <c r="O3" s="134"/>
      <c r="P3" s="134"/>
      <c r="Q3" s="134"/>
      <c r="R3" s="134"/>
      <c r="S3" s="134"/>
      <c r="T3" s="134"/>
      <c r="U3" s="127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29"/>
      <c r="AG3" s="130"/>
      <c r="AH3" s="130"/>
      <c r="AI3" s="130"/>
      <c r="AJ3" s="130"/>
      <c r="AK3" s="130"/>
      <c r="AL3" s="130"/>
      <c r="AM3" s="131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</row>
    <row r="4" spans="1:56" ht="11.5" customHeight="1" x14ac:dyDescent="0.45">
      <c r="A4" s="136"/>
      <c r="B4" s="137"/>
      <c r="C4" s="137"/>
      <c r="D4" s="137"/>
      <c r="E4" s="137"/>
      <c r="F4" s="137"/>
      <c r="G4" s="137"/>
      <c r="H4" s="137"/>
      <c r="I4" s="137"/>
      <c r="J4" s="137"/>
      <c r="K4" s="127"/>
      <c r="L4" s="138"/>
      <c r="M4" s="138"/>
      <c r="N4" s="138"/>
      <c r="O4" s="138"/>
      <c r="P4" s="138"/>
      <c r="Q4" s="138"/>
      <c r="R4" s="138"/>
      <c r="S4" s="138"/>
      <c r="T4" s="139"/>
      <c r="U4" s="140"/>
      <c r="V4" s="141"/>
      <c r="W4" s="141"/>
      <c r="X4" s="141"/>
      <c r="Y4" s="141"/>
      <c r="Z4" s="141"/>
      <c r="AA4" s="141"/>
      <c r="AB4" s="141"/>
      <c r="AC4" s="141"/>
      <c r="AD4" s="129"/>
      <c r="AE4" s="129"/>
      <c r="AF4" s="129"/>
      <c r="AG4" s="130"/>
      <c r="AH4" s="130"/>
      <c r="AI4" s="130"/>
      <c r="AJ4" s="130"/>
      <c r="AK4" s="130"/>
      <c r="AL4" s="130"/>
      <c r="AM4" s="131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</row>
    <row r="5" spans="1:56" ht="11.5" customHeight="1" x14ac:dyDescent="0.45">
      <c r="A5" s="142"/>
      <c r="B5" s="142"/>
      <c r="C5" s="142"/>
      <c r="D5" s="142"/>
      <c r="E5" s="142"/>
      <c r="F5" s="142"/>
      <c r="G5" s="142"/>
      <c r="H5" s="142"/>
      <c r="I5" s="142"/>
      <c r="J5" s="137"/>
      <c r="K5" s="131"/>
      <c r="L5" s="138"/>
      <c r="M5" s="138"/>
      <c r="N5" s="138"/>
      <c r="O5" s="138"/>
      <c r="P5" s="138"/>
      <c r="Q5" s="138"/>
      <c r="R5" s="138"/>
      <c r="S5" s="138"/>
      <c r="T5" s="138"/>
      <c r="V5" s="141"/>
      <c r="W5" s="141"/>
      <c r="X5" s="141"/>
      <c r="Y5" s="141"/>
      <c r="Z5" s="141"/>
      <c r="AA5" s="141"/>
      <c r="AB5" s="141"/>
      <c r="AC5" s="141"/>
      <c r="AD5" s="129"/>
      <c r="AE5" s="129"/>
      <c r="AF5" s="129"/>
      <c r="AG5" s="130"/>
      <c r="AH5" s="130"/>
      <c r="AI5" s="130"/>
      <c r="AJ5" s="130"/>
      <c r="AK5" s="130"/>
      <c r="AL5" s="130"/>
      <c r="AM5" s="131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</row>
    <row r="6" spans="1:56" ht="11.5" customHeight="1" x14ac:dyDescent="0.45">
      <c r="A6" s="142"/>
      <c r="B6" s="142"/>
      <c r="C6" s="142"/>
      <c r="D6" s="142"/>
      <c r="E6" s="142"/>
      <c r="F6" s="142"/>
      <c r="G6" s="142"/>
      <c r="H6" s="142"/>
      <c r="I6" s="142"/>
      <c r="J6" s="137"/>
      <c r="K6" s="131"/>
      <c r="L6" s="138"/>
      <c r="M6" s="138"/>
      <c r="N6" s="138"/>
      <c r="O6" s="138"/>
      <c r="P6" s="138"/>
      <c r="Q6" s="138"/>
      <c r="R6" s="138"/>
      <c r="S6" s="138"/>
      <c r="T6" s="138"/>
      <c r="V6" s="141"/>
      <c r="W6" s="141"/>
      <c r="X6" s="141"/>
      <c r="Y6" s="141"/>
      <c r="Z6" s="141"/>
      <c r="AA6" s="141"/>
      <c r="AB6" s="141"/>
      <c r="AC6" s="141"/>
      <c r="AD6" s="143"/>
      <c r="AE6" s="143"/>
      <c r="AF6" s="143"/>
      <c r="AG6" s="131"/>
      <c r="AH6" s="131"/>
      <c r="AI6" s="131"/>
      <c r="AJ6" s="131"/>
      <c r="AK6" s="131"/>
      <c r="AL6" s="131"/>
      <c r="AM6" s="131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</row>
    <row r="7" spans="1:56" ht="11.5" customHeight="1" x14ac:dyDescent="0.45">
      <c r="A7" s="142"/>
      <c r="B7" s="142"/>
      <c r="C7" s="142"/>
      <c r="D7" s="142"/>
      <c r="E7" s="142"/>
      <c r="F7" s="142"/>
      <c r="G7" s="142"/>
      <c r="H7" s="142"/>
      <c r="I7" s="142"/>
      <c r="J7" s="137"/>
      <c r="K7" s="131"/>
      <c r="L7" s="138"/>
      <c r="M7" s="138"/>
      <c r="N7" s="138"/>
      <c r="O7" s="138"/>
      <c r="P7" s="138"/>
      <c r="Q7" s="138"/>
      <c r="R7" s="138"/>
      <c r="S7" s="138"/>
      <c r="T7" s="138"/>
      <c r="V7" s="141"/>
      <c r="W7" s="141"/>
      <c r="X7" s="141"/>
      <c r="Y7" s="141"/>
      <c r="Z7" s="141"/>
      <c r="AA7" s="141"/>
      <c r="AB7" s="141"/>
      <c r="AC7" s="141"/>
      <c r="AD7" s="143"/>
      <c r="AE7" s="143"/>
      <c r="AF7" s="143"/>
      <c r="AG7" s="131"/>
      <c r="AH7" s="131"/>
      <c r="AI7" s="131"/>
      <c r="AJ7" s="131"/>
      <c r="AK7" s="131"/>
      <c r="AL7" s="131"/>
      <c r="AM7" s="131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</row>
    <row r="8" spans="1:56" ht="11.5" customHeight="1" x14ac:dyDescent="0.45">
      <c r="A8" s="142"/>
      <c r="B8" s="142"/>
      <c r="C8" s="142"/>
      <c r="D8" s="142"/>
      <c r="E8" s="142"/>
      <c r="F8" s="142"/>
      <c r="G8" s="142"/>
      <c r="H8" s="142"/>
      <c r="I8" s="142"/>
      <c r="J8" s="137"/>
      <c r="K8" s="131"/>
      <c r="L8" s="138"/>
      <c r="M8" s="138"/>
      <c r="N8" s="138"/>
      <c r="O8" s="138"/>
      <c r="P8" s="138"/>
      <c r="Q8" s="138"/>
      <c r="R8" s="138"/>
      <c r="S8" s="138"/>
      <c r="T8" s="138"/>
      <c r="V8" s="141"/>
      <c r="W8" s="141"/>
      <c r="X8" s="141"/>
      <c r="Y8" s="141"/>
      <c r="Z8" s="141"/>
      <c r="AA8" s="141"/>
      <c r="AB8" s="141"/>
      <c r="AC8" s="141"/>
      <c r="AD8" s="143"/>
      <c r="AE8" s="143"/>
      <c r="AF8" s="143"/>
      <c r="AG8" s="131"/>
      <c r="AH8" s="131"/>
      <c r="AI8" s="131"/>
      <c r="AJ8" s="131"/>
      <c r="AK8" s="131"/>
      <c r="AL8" s="131"/>
      <c r="AM8" s="131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</row>
    <row r="9" spans="1:56" ht="11.5" customHeight="1" x14ac:dyDescent="0.45">
      <c r="A9" s="142"/>
      <c r="B9" s="142"/>
      <c r="C9" s="142"/>
      <c r="D9" s="142"/>
      <c r="E9" s="142"/>
      <c r="F9" s="142"/>
      <c r="G9" s="142"/>
      <c r="H9" s="142"/>
      <c r="I9" s="142"/>
      <c r="J9" s="137"/>
      <c r="K9" s="131"/>
      <c r="L9" s="138"/>
      <c r="M9" s="138"/>
      <c r="N9" s="138"/>
      <c r="O9" s="138"/>
      <c r="P9" s="138"/>
      <c r="Q9" s="138"/>
      <c r="R9" s="138"/>
      <c r="S9" s="138"/>
      <c r="T9" s="138"/>
      <c r="V9" s="141"/>
      <c r="W9" s="141"/>
      <c r="X9" s="141"/>
      <c r="Y9" s="141"/>
      <c r="Z9" s="141"/>
      <c r="AA9" s="141"/>
      <c r="AB9" s="141"/>
      <c r="AC9" s="141"/>
      <c r="AD9" s="143"/>
      <c r="AE9" s="143"/>
      <c r="AF9" s="143"/>
      <c r="AG9" s="131"/>
      <c r="AH9" s="131"/>
      <c r="AI9" s="131"/>
      <c r="AJ9" s="131"/>
      <c r="AK9" s="131"/>
      <c r="AL9" s="131"/>
      <c r="AM9" s="131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</row>
    <row r="10" spans="1:56" ht="11.5" customHeight="1" x14ac:dyDescent="0.45">
      <c r="A10" s="142"/>
      <c r="B10" s="142"/>
      <c r="C10" s="142"/>
      <c r="D10" s="142"/>
      <c r="E10" s="142"/>
      <c r="F10" s="142"/>
      <c r="G10" s="142"/>
      <c r="H10" s="142"/>
      <c r="I10" s="142"/>
      <c r="J10" s="137"/>
      <c r="K10" s="131"/>
      <c r="L10" s="138"/>
      <c r="M10" s="138"/>
      <c r="N10" s="138"/>
      <c r="O10" s="138"/>
      <c r="P10" s="138"/>
      <c r="Q10" s="138"/>
      <c r="R10" s="138"/>
      <c r="S10" s="138"/>
      <c r="T10" s="138"/>
      <c r="V10" s="141"/>
      <c r="W10" s="141"/>
      <c r="X10" s="141"/>
      <c r="Y10" s="141"/>
      <c r="Z10" s="141"/>
      <c r="AA10" s="141"/>
      <c r="AB10" s="141"/>
      <c r="AC10" s="141"/>
      <c r="AD10" s="143"/>
      <c r="AE10" s="143"/>
      <c r="AF10" s="143"/>
      <c r="AG10" s="131"/>
      <c r="AH10" s="131"/>
      <c r="AI10" s="131"/>
      <c r="AJ10" s="131"/>
      <c r="AK10" s="131"/>
      <c r="AL10" s="131"/>
      <c r="AM10" s="131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</row>
    <row r="11" spans="1:56" ht="11.5" customHeight="1" x14ac:dyDescent="0.45">
      <c r="A11" s="142"/>
      <c r="B11" s="142"/>
      <c r="C11" s="142"/>
      <c r="D11" s="142"/>
      <c r="E11" s="142"/>
      <c r="F11" s="142"/>
      <c r="G11" s="142"/>
      <c r="H11" s="142"/>
      <c r="I11" s="142"/>
      <c r="J11" s="137"/>
      <c r="K11" s="131"/>
      <c r="L11" s="138"/>
      <c r="M11" s="138"/>
      <c r="N11" s="138"/>
      <c r="O11" s="138"/>
      <c r="P11" s="138"/>
      <c r="Q11" s="138"/>
      <c r="R11" s="138"/>
      <c r="S11" s="138"/>
      <c r="T11" s="138"/>
      <c r="V11" s="141"/>
      <c r="W11" s="141"/>
      <c r="X11" s="141"/>
      <c r="Y11" s="141"/>
      <c r="Z11" s="141"/>
      <c r="AA11" s="141"/>
      <c r="AB11" s="141"/>
      <c r="AC11" s="141"/>
      <c r="AD11" s="143"/>
      <c r="AE11" s="143"/>
      <c r="AF11" s="143"/>
      <c r="AG11" s="131"/>
      <c r="AH11" s="131"/>
      <c r="AI11" s="131"/>
      <c r="AJ11" s="131"/>
      <c r="AK11" s="131"/>
      <c r="AL11" s="131"/>
      <c r="AM11" s="131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</row>
    <row r="12" spans="1:56" ht="11.5" customHeight="1" x14ac:dyDescent="0.45">
      <c r="A12" s="142"/>
      <c r="B12" s="142"/>
      <c r="C12" s="142"/>
      <c r="D12" s="142"/>
      <c r="E12" s="142"/>
      <c r="F12" s="142"/>
      <c r="G12" s="142"/>
      <c r="H12" s="142"/>
      <c r="I12" s="142"/>
      <c r="J12" s="137"/>
      <c r="K12" s="131"/>
      <c r="L12" s="138"/>
      <c r="M12" s="138"/>
      <c r="N12" s="138"/>
      <c r="O12" s="138"/>
      <c r="P12" s="138"/>
      <c r="Q12" s="138"/>
      <c r="R12" s="138"/>
      <c r="S12" s="138"/>
      <c r="T12" s="138"/>
      <c r="V12" s="141"/>
      <c r="W12" s="141"/>
      <c r="X12" s="141"/>
      <c r="Y12" s="141"/>
      <c r="Z12" s="141"/>
      <c r="AA12" s="141"/>
      <c r="AB12" s="141"/>
      <c r="AC12" s="141"/>
      <c r="AD12" s="143"/>
      <c r="AE12" s="143"/>
      <c r="AF12" s="143"/>
      <c r="AG12" s="131"/>
      <c r="AH12" s="131"/>
      <c r="AI12" s="131"/>
      <c r="AJ12" s="131"/>
      <c r="AK12" s="131"/>
      <c r="AL12" s="131"/>
      <c r="AM12" s="131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</row>
    <row r="13" spans="1:56" ht="11.5" customHeight="1" x14ac:dyDescent="0.45">
      <c r="A13" s="142"/>
      <c r="B13" s="142"/>
      <c r="C13" s="142"/>
      <c r="D13" s="142"/>
      <c r="E13" s="142"/>
      <c r="F13" s="142"/>
      <c r="G13" s="142"/>
      <c r="H13" s="142"/>
      <c r="I13" s="142"/>
      <c r="J13" s="137"/>
      <c r="K13" s="131"/>
      <c r="L13" s="138"/>
      <c r="M13" s="138"/>
      <c r="N13" s="138"/>
      <c r="O13" s="138"/>
      <c r="P13" s="138"/>
      <c r="Q13" s="138"/>
      <c r="R13" s="138"/>
      <c r="S13" s="138"/>
      <c r="T13" s="138"/>
      <c r="V13" s="141"/>
      <c r="W13" s="141"/>
      <c r="X13" s="141"/>
      <c r="Y13" s="141"/>
      <c r="Z13" s="141"/>
      <c r="AA13" s="141"/>
      <c r="AB13" s="141"/>
      <c r="AC13" s="141"/>
      <c r="AD13" s="143"/>
      <c r="AE13" s="143"/>
      <c r="AF13" s="143"/>
      <c r="AG13" s="131"/>
      <c r="AH13" s="131"/>
      <c r="AI13" s="131"/>
      <c r="AJ13" s="131"/>
      <c r="AK13" s="131"/>
      <c r="AL13" s="131"/>
      <c r="AM13" s="131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</row>
    <row r="14" spans="1:56" ht="11.5" customHeight="1" x14ac:dyDescent="0.45">
      <c r="A14" s="142"/>
      <c r="B14" s="142"/>
      <c r="C14" s="142"/>
      <c r="D14" s="142"/>
      <c r="E14" s="142"/>
      <c r="F14" s="142"/>
      <c r="G14" s="142"/>
      <c r="H14" s="142"/>
      <c r="I14" s="142"/>
      <c r="J14" s="137"/>
      <c r="K14" s="131"/>
      <c r="L14" s="138"/>
      <c r="M14" s="138"/>
      <c r="N14" s="138"/>
      <c r="O14" s="138"/>
      <c r="P14" s="138"/>
      <c r="Q14" s="138"/>
      <c r="R14" s="138"/>
      <c r="S14" s="138"/>
      <c r="T14" s="138"/>
      <c r="V14" s="141"/>
      <c r="W14" s="141"/>
      <c r="X14" s="141"/>
      <c r="Y14" s="141"/>
      <c r="Z14" s="141"/>
      <c r="AA14" s="141"/>
      <c r="AB14" s="141"/>
      <c r="AC14" s="141"/>
      <c r="AD14" s="143"/>
      <c r="AE14" s="143"/>
      <c r="AF14" s="143"/>
      <c r="AG14" s="131"/>
      <c r="AH14" s="131"/>
      <c r="AI14" s="131"/>
      <c r="AJ14" s="131"/>
      <c r="AK14" s="131"/>
      <c r="AL14" s="131"/>
      <c r="AM14" s="131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</row>
    <row r="15" spans="1:56" ht="11.5" customHeight="1" x14ac:dyDescent="0.45">
      <c r="A15" s="142"/>
      <c r="B15" s="142"/>
      <c r="C15" s="142"/>
      <c r="D15" s="142"/>
      <c r="E15" s="142"/>
      <c r="F15" s="142"/>
      <c r="G15" s="142"/>
      <c r="H15" s="142"/>
      <c r="I15" s="142"/>
      <c r="J15" s="137"/>
      <c r="K15" s="131"/>
      <c r="L15" s="138"/>
      <c r="M15" s="138"/>
      <c r="N15" s="138"/>
      <c r="O15" s="138"/>
      <c r="P15" s="138"/>
      <c r="Q15" s="138"/>
      <c r="R15" s="138"/>
      <c r="S15" s="138"/>
      <c r="T15" s="138"/>
      <c r="V15" s="141"/>
      <c r="W15" s="141"/>
      <c r="X15" s="141"/>
      <c r="Y15" s="141"/>
      <c r="Z15" s="141"/>
      <c r="AA15" s="141"/>
      <c r="AB15" s="141"/>
      <c r="AC15" s="141"/>
      <c r="AD15" s="143"/>
      <c r="AE15" s="143"/>
      <c r="AF15" s="143"/>
      <c r="AG15" s="131"/>
      <c r="AH15" s="131"/>
      <c r="AI15" s="131"/>
      <c r="AJ15" s="131"/>
      <c r="AK15" s="131"/>
      <c r="AL15" s="131"/>
      <c r="AM15" s="131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</row>
    <row r="16" spans="1:56" ht="11.5" customHeight="1" x14ac:dyDescent="0.45">
      <c r="A16" s="142"/>
      <c r="B16" s="142"/>
      <c r="C16" s="142"/>
      <c r="D16" s="142"/>
      <c r="E16" s="142"/>
      <c r="F16" s="142"/>
      <c r="G16" s="142"/>
      <c r="H16" s="142"/>
      <c r="I16" s="142"/>
      <c r="J16" s="137"/>
      <c r="K16" s="131"/>
      <c r="L16" s="138"/>
      <c r="M16" s="138"/>
      <c r="N16" s="138"/>
      <c r="O16" s="138"/>
      <c r="P16" s="138"/>
      <c r="Q16" s="138"/>
      <c r="R16" s="138"/>
      <c r="S16" s="138"/>
      <c r="T16" s="138"/>
      <c r="V16" s="141"/>
      <c r="W16" s="141"/>
      <c r="X16" s="141"/>
      <c r="Y16" s="141"/>
      <c r="Z16" s="141"/>
      <c r="AA16" s="141"/>
      <c r="AB16" s="141"/>
      <c r="AC16" s="141"/>
      <c r="AD16" s="143"/>
      <c r="AE16" s="143"/>
      <c r="AF16" s="143"/>
      <c r="AG16" s="131"/>
      <c r="AH16" s="131"/>
      <c r="AI16" s="131"/>
      <c r="AJ16" s="131"/>
      <c r="AK16" s="131"/>
      <c r="AL16" s="131"/>
      <c r="AM16" s="131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</row>
    <row r="17" spans="1:59" ht="11.5" customHeight="1" x14ac:dyDescent="0.45">
      <c r="A17" s="142"/>
      <c r="B17" s="142"/>
      <c r="C17" s="142"/>
      <c r="D17" s="142"/>
      <c r="E17" s="142"/>
      <c r="F17" s="142"/>
      <c r="G17" s="142"/>
      <c r="H17" s="142"/>
      <c r="I17" s="142"/>
      <c r="J17" s="137"/>
      <c r="K17" s="131"/>
      <c r="L17" s="138"/>
      <c r="M17" s="138"/>
      <c r="N17" s="138"/>
      <c r="O17" s="138"/>
      <c r="P17" s="138"/>
      <c r="Q17" s="138"/>
      <c r="R17" s="138"/>
      <c r="S17" s="138"/>
      <c r="T17" s="138"/>
      <c r="V17" s="141"/>
      <c r="W17" s="141"/>
      <c r="X17" s="141"/>
      <c r="Y17" s="141"/>
      <c r="Z17" s="141"/>
      <c r="AA17" s="141"/>
      <c r="AB17" s="141"/>
      <c r="AC17" s="141"/>
      <c r="AD17" s="143"/>
      <c r="AE17" s="143"/>
      <c r="AF17" s="143"/>
      <c r="AG17" s="131"/>
      <c r="AH17" s="131"/>
      <c r="AI17" s="131"/>
      <c r="AJ17" s="131"/>
      <c r="AK17" s="131"/>
      <c r="AL17" s="131"/>
      <c r="AM17" s="131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</row>
    <row r="18" spans="1:59" ht="11.5" customHeight="1" x14ac:dyDescent="0.45">
      <c r="A18" s="142"/>
      <c r="B18" s="142"/>
      <c r="C18" s="142"/>
      <c r="D18" s="142"/>
      <c r="E18" s="142"/>
      <c r="F18" s="142"/>
      <c r="G18" s="142"/>
      <c r="H18" s="142"/>
      <c r="I18" s="142"/>
      <c r="J18" s="137"/>
      <c r="K18" s="131"/>
      <c r="L18" s="138"/>
      <c r="M18" s="138"/>
      <c r="N18" s="138"/>
      <c r="O18" s="138"/>
      <c r="P18" s="138"/>
      <c r="Q18" s="138"/>
      <c r="R18" s="138"/>
      <c r="S18" s="138"/>
      <c r="T18" s="138"/>
      <c r="V18" s="141"/>
      <c r="W18" s="141"/>
      <c r="X18" s="141"/>
      <c r="Y18" s="141"/>
      <c r="Z18" s="141"/>
      <c r="AA18" s="141"/>
      <c r="AB18" s="141"/>
      <c r="AC18" s="141"/>
      <c r="AD18" s="143"/>
      <c r="AE18" s="143"/>
      <c r="AF18" s="143"/>
      <c r="AG18" s="131"/>
      <c r="AH18" s="131"/>
      <c r="AI18" s="131"/>
      <c r="AJ18" s="131"/>
      <c r="AK18" s="131"/>
      <c r="AL18" s="131"/>
      <c r="AM18" s="131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</row>
    <row r="19" spans="1:59" ht="11.5" customHeight="1" x14ac:dyDescent="0.45">
      <c r="A19" s="142"/>
      <c r="B19" s="142"/>
      <c r="C19" s="142"/>
      <c r="D19" s="142"/>
      <c r="E19" s="142"/>
      <c r="F19" s="142"/>
      <c r="G19" s="142"/>
      <c r="H19" s="142"/>
      <c r="I19" s="142"/>
      <c r="J19" s="137"/>
      <c r="K19" s="131"/>
      <c r="L19" s="138"/>
      <c r="M19" s="138"/>
      <c r="N19" s="138"/>
      <c r="O19" s="138"/>
      <c r="P19" s="138"/>
      <c r="Q19" s="138"/>
      <c r="R19" s="138"/>
      <c r="S19" s="138"/>
      <c r="T19" s="138"/>
      <c r="V19" s="141"/>
      <c r="W19" s="141"/>
      <c r="X19" s="141"/>
      <c r="Y19" s="141"/>
      <c r="Z19" s="141"/>
      <c r="AA19" s="141"/>
      <c r="AB19" s="141"/>
      <c r="AC19" s="141"/>
      <c r="AD19" s="143"/>
      <c r="AE19" s="143"/>
      <c r="AF19" s="143"/>
      <c r="AG19" s="131"/>
      <c r="AH19" s="131"/>
      <c r="AI19" s="131"/>
      <c r="AJ19" s="131"/>
      <c r="AK19" s="131"/>
      <c r="AL19" s="131"/>
      <c r="AM19" s="131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</row>
    <row r="20" spans="1:59" ht="11.5" customHeight="1" x14ac:dyDescent="0.45">
      <c r="A20" s="142"/>
      <c r="B20" s="142"/>
      <c r="C20" s="142"/>
      <c r="D20" s="142"/>
      <c r="E20" s="142"/>
      <c r="F20" s="142"/>
      <c r="G20" s="142"/>
      <c r="H20" s="142"/>
      <c r="I20" s="142"/>
      <c r="J20" s="137"/>
      <c r="K20" s="131"/>
      <c r="L20" s="138"/>
      <c r="M20" s="138"/>
      <c r="N20" s="138"/>
      <c r="O20" s="138"/>
      <c r="P20" s="138"/>
      <c r="Q20" s="138"/>
      <c r="R20" s="138"/>
      <c r="S20" s="138"/>
      <c r="T20" s="138"/>
      <c r="V20" s="141"/>
      <c r="W20" s="141"/>
      <c r="X20" s="141"/>
      <c r="Y20" s="141"/>
      <c r="Z20" s="141"/>
      <c r="AA20" s="141"/>
      <c r="AB20" s="141"/>
      <c r="AC20" s="141"/>
      <c r="AD20" s="143"/>
      <c r="AE20" s="143"/>
      <c r="AF20" s="143"/>
      <c r="AG20" s="131"/>
      <c r="AH20" s="131"/>
      <c r="AI20" s="131"/>
      <c r="AJ20" s="131"/>
      <c r="AK20" s="131"/>
      <c r="AL20" s="131"/>
      <c r="AM20" s="131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</row>
    <row r="21" spans="1:59" ht="11.5" customHeight="1" x14ac:dyDescent="0.45">
      <c r="A21" s="142"/>
      <c r="B21" s="142"/>
      <c r="C21" s="142"/>
      <c r="D21" s="142"/>
      <c r="E21" s="142"/>
      <c r="F21" s="142"/>
      <c r="G21" s="142"/>
      <c r="H21" s="142"/>
      <c r="I21" s="142"/>
      <c r="J21" s="137"/>
      <c r="K21" s="131"/>
      <c r="L21" s="138"/>
      <c r="M21" s="138"/>
      <c r="N21" s="138"/>
      <c r="O21" s="138"/>
      <c r="P21" s="138"/>
      <c r="Q21" s="138"/>
      <c r="R21" s="138"/>
      <c r="S21" s="138"/>
      <c r="T21" s="138"/>
      <c r="V21" s="141"/>
      <c r="W21" s="141"/>
      <c r="X21" s="141"/>
      <c r="Y21" s="141"/>
      <c r="Z21" s="141"/>
      <c r="AA21" s="141"/>
      <c r="AB21" s="141"/>
      <c r="AC21" s="141"/>
      <c r="AD21" s="143"/>
      <c r="AE21" s="143"/>
      <c r="AF21" s="143"/>
      <c r="AG21" s="131"/>
      <c r="AH21" s="131"/>
      <c r="AI21" s="131"/>
      <c r="AJ21" s="131"/>
      <c r="AK21" s="131"/>
      <c r="AL21" s="131"/>
      <c r="AM21" s="131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</row>
    <row r="22" spans="1:59" ht="11.5" customHeight="1" x14ac:dyDescent="0.35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M22" s="131"/>
      <c r="O22" s="131"/>
      <c r="P22" s="131"/>
      <c r="Q22" s="131"/>
      <c r="R22" s="131"/>
      <c r="S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</row>
    <row r="23" spans="1:59" s="131" customFormat="1" ht="11.5" customHeight="1" x14ac:dyDescent="0.45">
      <c r="A23" s="144" t="s">
        <v>40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5"/>
      <c r="V23" s="145"/>
      <c r="W23" s="146" t="s">
        <v>45</v>
      </c>
      <c r="X23" s="146"/>
      <c r="Y23" s="146"/>
      <c r="Z23" s="146"/>
      <c r="AA23" s="146"/>
      <c r="AB23" s="146"/>
      <c r="AC23" s="146"/>
      <c r="AD23" s="146"/>
      <c r="AE23" s="146"/>
      <c r="AF23" s="147"/>
      <c r="AG23" s="148"/>
      <c r="AH23" s="148"/>
      <c r="AI23" s="148"/>
      <c r="AJ23" s="148"/>
      <c r="AK23" s="148"/>
      <c r="AL23" s="148"/>
      <c r="AM23" s="148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</row>
    <row r="24" spans="1:59" s="131" customFormat="1" ht="11.5" customHeight="1" x14ac:dyDescent="0.45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5"/>
      <c r="V24" s="145"/>
      <c r="W24" s="146"/>
      <c r="X24" s="146"/>
      <c r="Y24" s="146"/>
      <c r="Z24" s="146"/>
      <c r="AA24" s="146"/>
      <c r="AB24" s="146"/>
      <c r="AC24" s="146"/>
      <c r="AD24" s="146"/>
      <c r="AE24" s="146"/>
      <c r="AF24" s="147"/>
      <c r="AG24" s="148"/>
      <c r="AH24" s="148"/>
      <c r="AI24" s="148"/>
      <c r="AJ24" s="148"/>
      <c r="AK24" s="148"/>
      <c r="AL24" s="148"/>
      <c r="AM24" s="148"/>
    </row>
    <row r="25" spans="1:59" s="131" customFormat="1" ht="11.5" customHeight="1" x14ac:dyDescent="0.4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5"/>
      <c r="V25" s="145"/>
      <c r="W25" s="150"/>
      <c r="X25" s="150"/>
      <c r="Y25" s="150"/>
      <c r="Z25" s="150"/>
      <c r="AA25" s="150"/>
      <c r="AB25" s="150"/>
      <c r="AC25" s="150"/>
      <c r="AD25" s="150"/>
      <c r="AE25" s="150"/>
      <c r="AF25" s="147"/>
      <c r="AG25" s="148"/>
      <c r="AH25" s="148"/>
      <c r="AI25" s="148"/>
      <c r="AJ25" s="148"/>
      <c r="AK25" s="148"/>
      <c r="AL25" s="148"/>
      <c r="AM25" s="148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</row>
    <row r="26" spans="1:59" ht="11.5" customHeight="1" x14ac:dyDescent="0.45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47"/>
      <c r="X26" s="147"/>
      <c r="Y26" s="147"/>
      <c r="Z26" s="147"/>
      <c r="AA26" s="147"/>
      <c r="AB26" s="147"/>
      <c r="AC26" s="147"/>
      <c r="AD26" s="147"/>
      <c r="AE26" s="147"/>
      <c r="AF26" s="153"/>
      <c r="AG26" s="131"/>
      <c r="AH26" s="131"/>
      <c r="AI26" s="131"/>
      <c r="AJ26" s="131"/>
      <c r="AK26" s="131"/>
      <c r="AL26" s="131"/>
      <c r="AM26" s="13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</row>
    <row r="27" spans="1:59" ht="11.5" customHeight="1" x14ac:dyDescent="0.45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47"/>
      <c r="X27" s="147"/>
      <c r="Y27" s="147"/>
      <c r="Z27" s="147"/>
      <c r="AA27" s="147"/>
      <c r="AB27" s="147"/>
      <c r="AC27" s="147"/>
      <c r="AD27" s="147"/>
      <c r="AE27" s="147"/>
      <c r="AF27" s="153"/>
      <c r="AG27" s="131"/>
      <c r="AH27" s="131"/>
      <c r="AI27" s="131"/>
      <c r="AJ27" s="131"/>
      <c r="AK27" s="131"/>
      <c r="AL27" s="131"/>
      <c r="AM27" s="13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</row>
    <row r="28" spans="1:59" ht="11.5" customHeight="1" x14ac:dyDescent="0.45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47"/>
      <c r="X28" s="147"/>
      <c r="Y28" s="147"/>
      <c r="Z28" s="147"/>
      <c r="AA28" s="147"/>
      <c r="AB28" s="147"/>
      <c r="AC28" s="147"/>
      <c r="AD28" s="147"/>
      <c r="AE28" s="147"/>
      <c r="AF28" s="153"/>
      <c r="AG28" s="131"/>
      <c r="AH28" s="131"/>
      <c r="AI28" s="131"/>
      <c r="AJ28" s="131"/>
      <c r="AK28" s="131"/>
      <c r="AL28" s="131"/>
      <c r="AM28" s="13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</row>
    <row r="29" spans="1:59" ht="11.5" customHeight="1" x14ac:dyDescent="0.45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47"/>
      <c r="X29" s="147"/>
      <c r="Y29" s="147"/>
      <c r="Z29" s="147"/>
      <c r="AA29" s="147"/>
      <c r="AB29" s="147"/>
      <c r="AC29" s="147"/>
      <c r="AD29" s="147"/>
      <c r="AE29" s="147"/>
      <c r="AF29" s="153"/>
      <c r="AG29" s="131"/>
      <c r="AH29" s="131"/>
      <c r="AI29" s="131"/>
      <c r="AJ29" s="131"/>
      <c r="AK29" s="131"/>
      <c r="AL29" s="131"/>
      <c r="AM29" s="13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</row>
    <row r="30" spans="1:59" ht="11.5" customHeight="1" x14ac:dyDescent="0.45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47"/>
      <c r="X30" s="147"/>
      <c r="Y30" s="147"/>
      <c r="Z30" s="147"/>
      <c r="AA30" s="147"/>
      <c r="AB30" s="147"/>
      <c r="AC30" s="147"/>
      <c r="AD30" s="147"/>
      <c r="AE30" s="147"/>
      <c r="AF30" s="153"/>
      <c r="AG30" s="131"/>
      <c r="AH30" s="131"/>
      <c r="AI30" s="131"/>
      <c r="AJ30" s="131"/>
      <c r="AK30" s="131"/>
      <c r="AL30" s="131"/>
      <c r="AM30" s="13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</row>
    <row r="31" spans="1:59" ht="11.5" customHeight="1" x14ac:dyDescent="0.45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47"/>
      <c r="X31" s="147"/>
      <c r="Y31" s="147"/>
      <c r="Z31" s="147"/>
      <c r="AA31" s="147"/>
      <c r="AB31" s="147"/>
      <c r="AC31" s="147"/>
      <c r="AD31" s="147"/>
      <c r="AE31" s="147"/>
      <c r="AF31" s="153"/>
      <c r="AG31" s="131"/>
      <c r="AH31" s="131"/>
      <c r="AI31" s="131"/>
      <c r="AJ31" s="131"/>
      <c r="AK31" s="131"/>
      <c r="AL31" s="131"/>
      <c r="AM31" s="13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</row>
    <row r="32" spans="1:59" ht="11.5" customHeight="1" x14ac:dyDescent="0.4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47"/>
      <c r="X32" s="147"/>
      <c r="Y32" s="147"/>
      <c r="Z32" s="147"/>
      <c r="AA32" s="147"/>
      <c r="AB32" s="147"/>
      <c r="AC32" s="147"/>
      <c r="AD32" s="147"/>
      <c r="AE32" s="147"/>
      <c r="AF32" s="153"/>
      <c r="AG32" s="131"/>
      <c r="AH32" s="131"/>
      <c r="AI32" s="131"/>
      <c r="AJ32" s="131"/>
      <c r="AK32" s="131"/>
      <c r="AL32" s="131"/>
      <c r="AM32" s="13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</row>
    <row r="33" spans="1:59" ht="11.5" customHeight="1" x14ac:dyDescent="0.4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47"/>
      <c r="X33" s="147"/>
      <c r="Y33" s="147"/>
      <c r="Z33" s="147"/>
      <c r="AA33" s="147"/>
      <c r="AB33" s="147"/>
      <c r="AC33" s="147"/>
      <c r="AD33" s="147"/>
      <c r="AE33" s="147"/>
      <c r="AF33" s="153"/>
      <c r="AG33" s="131"/>
      <c r="AH33" s="131"/>
      <c r="AI33" s="131"/>
      <c r="AJ33" s="131"/>
      <c r="AK33" s="131"/>
      <c r="AL33" s="131"/>
      <c r="AM33" s="13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</row>
    <row r="34" spans="1:59" ht="11.5" customHeight="1" x14ac:dyDescent="0.4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47"/>
      <c r="X34" s="147"/>
      <c r="Y34" s="147"/>
      <c r="Z34" s="147"/>
      <c r="AA34" s="147"/>
      <c r="AB34" s="147"/>
      <c r="AC34" s="147"/>
      <c r="AD34" s="147"/>
      <c r="AE34" s="147"/>
      <c r="AF34" s="153"/>
      <c r="AG34" s="131"/>
      <c r="AH34" s="131"/>
      <c r="AI34" s="131"/>
      <c r="AJ34" s="131"/>
      <c r="AK34" s="131"/>
      <c r="AL34" s="131"/>
      <c r="AM34" s="13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</row>
    <row r="35" spans="1:59" ht="11.5" customHeight="1" x14ac:dyDescent="0.4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47"/>
      <c r="X35" s="147"/>
      <c r="Y35" s="147"/>
      <c r="Z35" s="147"/>
      <c r="AA35" s="147"/>
      <c r="AB35" s="147"/>
      <c r="AC35" s="147"/>
      <c r="AD35" s="147"/>
      <c r="AE35" s="147"/>
      <c r="AF35" s="153"/>
      <c r="AG35" s="131"/>
      <c r="AH35" s="131"/>
      <c r="AI35" s="131"/>
      <c r="AJ35" s="131"/>
      <c r="AK35" s="131"/>
      <c r="AL35" s="131"/>
      <c r="AM35" s="13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</row>
    <row r="36" spans="1:59" ht="11.5" customHeight="1" x14ac:dyDescent="0.4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47"/>
      <c r="X36" s="147"/>
      <c r="Y36" s="147"/>
      <c r="Z36" s="147"/>
      <c r="AA36" s="147"/>
      <c r="AB36" s="147"/>
      <c r="AC36" s="147"/>
      <c r="AD36" s="147"/>
      <c r="AE36" s="147"/>
      <c r="AF36" s="153"/>
      <c r="AG36" s="131"/>
      <c r="AH36" s="131"/>
      <c r="AI36" s="131"/>
      <c r="AJ36" s="131"/>
      <c r="AK36" s="131"/>
      <c r="AL36" s="131"/>
      <c r="AM36" s="13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</row>
    <row r="37" spans="1:59" ht="11.5" customHeight="1" x14ac:dyDescent="0.4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47"/>
      <c r="X37" s="147"/>
      <c r="Y37" s="147"/>
      <c r="Z37" s="147"/>
      <c r="AA37" s="147"/>
      <c r="AB37" s="147"/>
      <c r="AC37" s="147"/>
      <c r="AD37" s="147"/>
      <c r="AE37" s="147"/>
      <c r="AF37" s="153"/>
      <c r="AG37" s="131"/>
      <c r="AH37" s="131"/>
      <c r="AI37" s="131"/>
      <c r="AJ37" s="131"/>
      <c r="AK37" s="131"/>
      <c r="AL37" s="131"/>
      <c r="AM37" s="13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</row>
    <row r="38" spans="1:59" ht="11.5" customHeight="1" x14ac:dyDescent="0.4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47"/>
      <c r="X38" s="147"/>
      <c r="Y38" s="147"/>
      <c r="Z38" s="147"/>
      <c r="AA38" s="147"/>
      <c r="AB38" s="147"/>
      <c r="AC38" s="147"/>
      <c r="AD38" s="147"/>
      <c r="AE38" s="147"/>
      <c r="AF38" s="153"/>
      <c r="AG38" s="131"/>
      <c r="AH38" s="131"/>
      <c r="AI38" s="131"/>
      <c r="AJ38" s="131"/>
      <c r="AK38" s="131"/>
      <c r="AL38" s="131"/>
      <c r="AM38" s="13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</row>
    <row r="39" spans="1:59" ht="11.5" customHeight="1" x14ac:dyDescent="0.4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47"/>
      <c r="X39" s="147"/>
      <c r="Y39" s="147"/>
      <c r="Z39" s="147"/>
      <c r="AA39" s="147"/>
      <c r="AB39" s="147"/>
      <c r="AC39" s="147"/>
      <c r="AD39" s="147"/>
      <c r="AE39" s="147"/>
      <c r="AF39" s="153"/>
      <c r="AG39" s="131"/>
      <c r="AH39" s="131"/>
      <c r="AI39" s="131"/>
      <c r="AJ39" s="131"/>
      <c r="AK39" s="131"/>
      <c r="AL39" s="131"/>
      <c r="AM39" s="13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</row>
    <row r="40" spans="1:59" ht="11.5" customHeight="1" x14ac:dyDescent="0.4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47"/>
      <c r="X40" s="147"/>
      <c r="Y40" s="147"/>
      <c r="Z40" s="147"/>
      <c r="AA40" s="147"/>
      <c r="AB40" s="147"/>
      <c r="AC40" s="147"/>
      <c r="AD40" s="147"/>
      <c r="AE40" s="147"/>
      <c r="AF40" s="153"/>
      <c r="AG40" s="131"/>
      <c r="AH40" s="131"/>
      <c r="AI40" s="131"/>
      <c r="AJ40" s="131"/>
      <c r="AK40" s="131"/>
      <c r="AL40" s="131"/>
      <c r="AM40" s="13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</row>
    <row r="41" spans="1:59" ht="11.5" customHeight="1" x14ac:dyDescent="0.4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47"/>
      <c r="X41" s="147"/>
      <c r="Y41" s="147"/>
      <c r="Z41" s="147"/>
      <c r="AA41" s="147"/>
      <c r="AB41" s="147"/>
      <c r="AC41" s="147"/>
      <c r="AD41" s="147"/>
      <c r="AE41" s="147"/>
      <c r="AF41" s="153"/>
      <c r="AG41" s="131"/>
      <c r="AH41" s="131"/>
      <c r="AI41" s="131"/>
      <c r="AJ41" s="131"/>
      <c r="AK41" s="131"/>
      <c r="AL41" s="131"/>
      <c r="AM41" s="13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</row>
    <row r="42" spans="1:59" ht="11.5" customHeight="1" x14ac:dyDescent="0.4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47"/>
      <c r="X42" s="147"/>
      <c r="Y42" s="147"/>
      <c r="Z42" s="147"/>
      <c r="AA42" s="147"/>
      <c r="AB42" s="147"/>
      <c r="AC42" s="147"/>
      <c r="AD42" s="147"/>
      <c r="AE42" s="147"/>
      <c r="AF42" s="153"/>
      <c r="AG42" s="131"/>
      <c r="AH42" s="131"/>
      <c r="AI42" s="131"/>
      <c r="AJ42" s="131"/>
      <c r="AK42" s="131"/>
      <c r="AL42" s="131"/>
      <c r="AM42" s="13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</row>
    <row r="43" spans="1:59" ht="11.5" customHeight="1" x14ac:dyDescent="0.4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47"/>
      <c r="X43" s="147"/>
      <c r="Y43" s="147"/>
      <c r="Z43" s="147"/>
      <c r="AA43" s="147"/>
      <c r="AB43" s="147"/>
      <c r="AC43" s="147"/>
      <c r="AD43" s="147"/>
      <c r="AE43" s="147"/>
      <c r="AF43" s="153"/>
      <c r="AG43" s="131"/>
      <c r="AH43" s="131"/>
      <c r="AI43" s="131"/>
      <c r="AJ43" s="131"/>
      <c r="AK43" s="131"/>
      <c r="AL43" s="131"/>
      <c r="AM43" s="13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</row>
    <row r="44" spans="1:59" ht="11.5" customHeight="1" x14ac:dyDescent="0.4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47"/>
      <c r="X44" s="147"/>
      <c r="Y44" s="147"/>
      <c r="Z44" s="147"/>
      <c r="AA44" s="147"/>
      <c r="AB44" s="147"/>
      <c r="AC44" s="147"/>
      <c r="AD44" s="147"/>
      <c r="AE44" s="147"/>
      <c r="AF44" s="153"/>
      <c r="AG44" s="131"/>
      <c r="AH44" s="131"/>
      <c r="AI44" s="131"/>
      <c r="AJ44" s="131"/>
      <c r="AK44" s="131"/>
      <c r="AL44" s="131"/>
      <c r="AM44" s="13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</row>
    <row r="45" spans="1:59" ht="11.5" customHeight="1" x14ac:dyDescent="0.35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M45" s="131"/>
      <c r="O45" s="131"/>
      <c r="P45" s="131"/>
      <c r="Q45" s="131"/>
      <c r="R45" s="131"/>
      <c r="S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</row>
    <row r="46" spans="1:59" ht="14.5" x14ac:dyDescent="0.35">
      <c r="A46" s="143"/>
      <c r="B46" s="154" t="s">
        <v>49</v>
      </c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43"/>
      <c r="V46" s="143"/>
      <c r="W46" s="155" t="s">
        <v>59</v>
      </c>
      <c r="X46" s="155"/>
      <c r="Y46" s="155"/>
      <c r="Z46" s="155"/>
      <c r="AA46" s="155"/>
      <c r="AB46" s="155"/>
      <c r="AC46" s="155"/>
      <c r="AD46" s="155"/>
      <c r="AE46" s="155"/>
      <c r="AF46" s="155"/>
      <c r="AG46" s="131"/>
      <c r="AH46" s="131"/>
      <c r="AI46" s="131"/>
      <c r="AJ46" s="131"/>
      <c r="AK46" s="131"/>
      <c r="AL46" s="131"/>
      <c r="AM46" s="13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</row>
    <row r="47" spans="1:59" ht="18.5" x14ac:dyDescent="0.35">
      <c r="A47" s="143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43"/>
      <c r="V47" s="143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6"/>
      <c r="AH47" s="156"/>
      <c r="AI47" s="156"/>
      <c r="AJ47" s="156"/>
      <c r="AK47" s="156"/>
      <c r="AL47" s="156"/>
      <c r="AM47" s="127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</row>
    <row r="48" spans="1:59" ht="18.5" x14ac:dyDescent="0.35">
      <c r="A48" s="143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43"/>
      <c r="V48" s="143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6"/>
      <c r="AH48" s="156"/>
      <c r="AI48" s="156"/>
      <c r="AJ48" s="156"/>
      <c r="AK48" s="156"/>
      <c r="AL48" s="156"/>
      <c r="AM48" s="127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</row>
    <row r="49" spans="1:59" ht="11.5" customHeight="1" x14ac:dyDescent="0.45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60"/>
      <c r="X49" s="160"/>
      <c r="Y49" s="160"/>
      <c r="Z49" s="160"/>
      <c r="AA49" s="160"/>
      <c r="AB49" s="160"/>
      <c r="AC49" s="160"/>
      <c r="AD49" s="161"/>
      <c r="AE49" s="161"/>
      <c r="AF49" s="161"/>
      <c r="AG49" s="156"/>
      <c r="AH49" s="156"/>
      <c r="AI49" s="156"/>
      <c r="AJ49" s="156"/>
      <c r="AK49" s="156"/>
      <c r="AL49" s="156"/>
      <c r="AM49" s="127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</row>
    <row r="50" spans="1:59" ht="11.5" customHeight="1" x14ac:dyDescent="0.35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31"/>
      <c r="AH50" s="131"/>
      <c r="AI50" s="131"/>
      <c r="AJ50" s="131"/>
      <c r="AK50" s="131"/>
      <c r="AL50" s="131"/>
      <c r="AM50" s="13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</row>
    <row r="51" spans="1:59" ht="11.5" customHeight="1" x14ac:dyDescent="0.35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31"/>
      <c r="AH51" s="131"/>
      <c r="AI51" s="131"/>
      <c r="AJ51" s="131"/>
      <c r="AK51" s="131"/>
      <c r="AL51" s="131"/>
      <c r="AM51" s="13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</row>
    <row r="52" spans="1:59" ht="11.5" customHeight="1" x14ac:dyDescent="0.35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31"/>
      <c r="AH52" s="131"/>
      <c r="AI52" s="131"/>
      <c r="AJ52" s="131"/>
      <c r="AK52" s="131"/>
      <c r="AL52" s="131"/>
      <c r="AM52" s="13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</row>
    <row r="53" spans="1:59" ht="11.5" customHeight="1" x14ac:dyDescent="0.3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31"/>
      <c r="AH53" s="131"/>
      <c r="AI53" s="131"/>
      <c r="AJ53" s="131"/>
      <c r="AK53" s="131"/>
      <c r="AL53" s="131"/>
      <c r="AM53" s="13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</row>
    <row r="54" spans="1:59" ht="11.5" customHeight="1" x14ac:dyDescent="0.35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31"/>
      <c r="AH54" s="131"/>
      <c r="AI54" s="131"/>
      <c r="AJ54" s="131"/>
      <c r="AK54" s="131"/>
      <c r="AL54" s="131"/>
      <c r="AM54" s="13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</row>
    <row r="55" spans="1:59" ht="11.5" customHeight="1" x14ac:dyDescent="0.3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31"/>
      <c r="AH55" s="131"/>
      <c r="AI55" s="131"/>
      <c r="AJ55" s="131"/>
      <c r="AK55" s="131"/>
      <c r="AL55" s="131"/>
      <c r="AM55" s="13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</row>
    <row r="56" spans="1:59" ht="11.5" customHeight="1" x14ac:dyDescent="0.35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31"/>
      <c r="AH56" s="131"/>
      <c r="AI56" s="131"/>
      <c r="AJ56" s="131"/>
      <c r="AK56" s="131"/>
      <c r="AL56" s="131"/>
      <c r="AM56" s="13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</row>
    <row r="57" spans="1:59" ht="11.5" customHeight="1" x14ac:dyDescent="0.35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31"/>
      <c r="AH57" s="131"/>
      <c r="AI57" s="131"/>
      <c r="AJ57" s="131"/>
      <c r="AK57" s="131"/>
      <c r="AL57" s="131"/>
      <c r="AM57" s="13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  <c r="BB57" s="151"/>
      <c r="BC57" s="151"/>
      <c r="BD57" s="151"/>
      <c r="BE57" s="151"/>
      <c r="BF57" s="151"/>
      <c r="BG57" s="151"/>
    </row>
    <row r="58" spans="1:59" ht="11.5" customHeight="1" x14ac:dyDescent="0.35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31"/>
      <c r="AH58" s="131"/>
      <c r="AI58" s="131"/>
      <c r="AJ58" s="131"/>
      <c r="AK58" s="131"/>
      <c r="AL58" s="131"/>
      <c r="AM58" s="13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</row>
    <row r="59" spans="1:59" ht="11.5" customHeight="1" x14ac:dyDescent="0.35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31"/>
      <c r="AH59" s="131"/>
      <c r="AI59" s="131"/>
      <c r="AJ59" s="131"/>
      <c r="AK59" s="131"/>
      <c r="AL59" s="131"/>
      <c r="AM59" s="13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  <c r="BB59" s="151"/>
      <c r="BC59" s="151"/>
      <c r="BD59" s="151"/>
      <c r="BE59" s="151"/>
      <c r="BF59" s="151"/>
      <c r="BG59" s="151"/>
    </row>
    <row r="60" spans="1:59" ht="11.5" customHeight="1" x14ac:dyDescent="0.35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31"/>
      <c r="AH60" s="131"/>
      <c r="AI60" s="131"/>
      <c r="AJ60" s="131"/>
      <c r="AK60" s="131"/>
      <c r="AL60" s="131"/>
      <c r="AM60" s="13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</row>
    <row r="61" spans="1:59" ht="11.5" customHeight="1" x14ac:dyDescent="0.35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31"/>
      <c r="AH61" s="131"/>
      <c r="AI61" s="131"/>
      <c r="AJ61" s="131"/>
      <c r="AK61" s="131"/>
      <c r="AL61" s="131"/>
      <c r="AM61" s="13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</row>
    <row r="62" spans="1:59" ht="11.5" customHeight="1" x14ac:dyDescent="0.35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31"/>
      <c r="AH62" s="131"/>
      <c r="AI62" s="131"/>
      <c r="AJ62" s="131"/>
      <c r="AK62" s="131"/>
      <c r="AL62" s="131"/>
      <c r="AM62" s="13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</row>
    <row r="63" spans="1:59" ht="11.5" customHeight="1" x14ac:dyDescent="0.35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31"/>
      <c r="AH63" s="131"/>
      <c r="AI63" s="131"/>
      <c r="AJ63" s="131"/>
      <c r="AK63" s="131"/>
      <c r="AL63" s="131"/>
      <c r="AM63" s="13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151"/>
    </row>
    <row r="64" spans="1:59" ht="11.5" customHeight="1" x14ac:dyDescent="0.35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31"/>
      <c r="AH64" s="131"/>
      <c r="AI64" s="131"/>
      <c r="AJ64" s="131"/>
      <c r="AK64" s="131"/>
      <c r="AL64" s="131"/>
      <c r="AM64" s="13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</row>
    <row r="65" spans="1:59" ht="11.5" customHeight="1" x14ac:dyDescent="0.3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31"/>
      <c r="AH65" s="131"/>
      <c r="AI65" s="131"/>
      <c r="AJ65" s="131"/>
      <c r="AK65" s="131"/>
      <c r="AL65" s="131"/>
      <c r="AM65" s="13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1"/>
      <c r="BG65" s="151"/>
    </row>
    <row r="66" spans="1:59" ht="17" customHeight="1" x14ac:dyDescent="0.35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31"/>
      <c r="AH66" s="131"/>
      <c r="AI66" s="131"/>
      <c r="AJ66" s="131"/>
      <c r="AK66" s="131"/>
      <c r="AL66" s="131"/>
      <c r="AM66" s="13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</row>
    <row r="67" spans="1:59" ht="7" customHeight="1" x14ac:dyDescent="0.35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62"/>
      <c r="X67" s="162"/>
      <c r="Y67" s="162"/>
      <c r="Z67" s="162"/>
      <c r="AA67" s="162"/>
      <c r="AB67" s="162"/>
      <c r="AC67" s="162"/>
      <c r="AD67" s="162"/>
      <c r="AE67" s="162"/>
      <c r="AF67" s="163"/>
      <c r="AG67" s="164"/>
      <c r="AH67" s="164"/>
      <c r="AI67" s="164"/>
      <c r="AJ67" s="164"/>
      <c r="AK67" s="164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151"/>
    </row>
    <row r="68" spans="1:59" ht="11.5" customHeight="1" x14ac:dyDescent="0.35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143"/>
      <c r="L68" s="143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7"/>
      <c r="X68" s="167"/>
      <c r="Y68" s="167"/>
      <c r="Z68" s="167"/>
      <c r="AA68" s="167"/>
      <c r="AB68" s="167"/>
      <c r="AC68" s="167"/>
      <c r="AD68" s="162"/>
      <c r="AE68" s="162"/>
      <c r="AF68" s="162"/>
      <c r="AG68" s="131"/>
      <c r="AH68" s="131"/>
      <c r="AI68" s="131"/>
      <c r="AJ68" s="131"/>
      <c r="AK68" s="131"/>
      <c r="AL68" s="131"/>
      <c r="AM68" s="13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</row>
    <row r="69" spans="1:59" ht="11.5" customHeight="1" x14ac:dyDescent="0.35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43"/>
      <c r="L69" s="143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7"/>
      <c r="X69" s="167"/>
      <c r="Y69" s="167"/>
      <c r="Z69" s="167"/>
      <c r="AA69" s="167"/>
      <c r="AB69" s="167"/>
      <c r="AC69" s="167"/>
      <c r="AD69" s="162"/>
      <c r="AE69" s="162"/>
      <c r="AF69" s="162"/>
      <c r="AG69" s="131"/>
      <c r="AH69" s="131"/>
      <c r="AI69" s="131"/>
      <c r="AJ69" s="131"/>
      <c r="AK69" s="131"/>
      <c r="AL69" s="131"/>
      <c r="AM69" s="13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151"/>
    </row>
    <row r="70" spans="1:59" ht="11.5" customHeight="1" x14ac:dyDescent="0.35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31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70"/>
      <c r="X70" s="170"/>
      <c r="Y70" s="170"/>
      <c r="Z70" s="170"/>
      <c r="AA70" s="170"/>
      <c r="AB70" s="170"/>
      <c r="AC70" s="170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</row>
    <row r="71" spans="1:59" ht="17" customHeight="1" x14ac:dyDescent="0.35">
      <c r="A71" s="171" t="s">
        <v>67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69"/>
      <c r="M71" s="146" t="s">
        <v>72</v>
      </c>
      <c r="N71" s="146"/>
      <c r="O71" s="146"/>
      <c r="P71" s="146"/>
      <c r="Q71" s="146"/>
      <c r="R71" s="146"/>
      <c r="S71" s="146"/>
      <c r="T71" s="146"/>
      <c r="U71" s="146"/>
      <c r="V71" s="146"/>
      <c r="W71" s="170"/>
      <c r="X71" s="172" t="s">
        <v>80</v>
      </c>
      <c r="Y71" s="172"/>
      <c r="Z71" s="172"/>
      <c r="AA71" s="172"/>
      <c r="AB71" s="172"/>
      <c r="AC71" s="172"/>
      <c r="AD71" s="172"/>
      <c r="AE71" s="172"/>
      <c r="AF71" s="172"/>
      <c r="AG71" s="172"/>
      <c r="AH71" s="131"/>
      <c r="AI71" s="131"/>
      <c r="AJ71" s="131"/>
      <c r="AK71" s="131"/>
      <c r="AL71" s="131"/>
      <c r="AM71" s="13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</row>
    <row r="72" spans="1:59" ht="14.5" customHeight="1" x14ac:dyDescent="0.35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70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31"/>
      <c r="AI72" s="131"/>
      <c r="AJ72" s="131"/>
      <c r="AK72" s="131"/>
      <c r="AL72" s="131"/>
      <c r="AM72" s="13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</row>
    <row r="73" spans="1:59" ht="14.5" customHeight="1" x14ac:dyDescent="0.35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70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31"/>
      <c r="AI73" s="131"/>
      <c r="AJ73" s="131"/>
      <c r="AK73" s="131"/>
      <c r="AL73" s="131"/>
      <c r="AM73" s="13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/>
      <c r="BG73" s="151"/>
    </row>
    <row r="74" spans="1:59" ht="14.5" customHeight="1" x14ac:dyDescent="0.35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70"/>
      <c r="X74" s="174"/>
      <c r="Y74" s="174"/>
      <c r="Z74" s="174"/>
      <c r="AA74" s="174"/>
      <c r="AB74" s="174"/>
      <c r="AC74" s="174"/>
      <c r="AD74" s="174"/>
      <c r="AE74" s="174"/>
      <c r="AF74" s="174"/>
      <c r="AG74" s="174"/>
      <c r="AH74" s="131"/>
      <c r="AI74" s="131"/>
      <c r="AJ74" s="131"/>
      <c r="AK74" s="131"/>
      <c r="AL74" s="131"/>
      <c r="AM74" s="13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/>
      <c r="BG74" s="151"/>
    </row>
    <row r="75" spans="1:59" ht="14.5" x14ac:dyDescent="0.35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31"/>
      <c r="AI75" s="131"/>
      <c r="AJ75" s="131"/>
      <c r="AK75" s="131"/>
      <c r="AL75" s="131"/>
      <c r="AM75" s="13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  <c r="BB75" s="151"/>
      <c r="BC75" s="151"/>
      <c r="BD75" s="151"/>
      <c r="BE75" s="151"/>
      <c r="BF75" s="151"/>
      <c r="BG75" s="151"/>
    </row>
    <row r="76" spans="1:59" ht="11.5" customHeight="1" x14ac:dyDescent="0.35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  <c r="AH76" s="131"/>
      <c r="AI76" s="131"/>
      <c r="AJ76" s="131"/>
      <c r="AK76" s="131"/>
      <c r="AL76" s="131"/>
      <c r="AM76" s="13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</row>
    <row r="77" spans="1:59" ht="11.5" customHeight="1" x14ac:dyDescent="0.35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31"/>
      <c r="AI77" s="131"/>
      <c r="AJ77" s="131"/>
      <c r="AK77" s="131"/>
      <c r="AL77" s="131"/>
      <c r="AM77" s="131"/>
      <c r="AN77" s="151"/>
      <c r="AO77" s="151"/>
      <c r="AP77" s="151"/>
      <c r="AQ77" s="151"/>
      <c r="AR77" s="151"/>
      <c r="AS77" s="151"/>
      <c r="AT77" s="151"/>
      <c r="AU77" s="151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1"/>
      <c r="BG77" s="151"/>
    </row>
    <row r="78" spans="1:59" ht="11.5" customHeight="1" x14ac:dyDescent="0.35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31"/>
      <c r="AI78" s="131"/>
      <c r="AJ78" s="131"/>
      <c r="AK78" s="131"/>
      <c r="AL78" s="131"/>
      <c r="AM78" s="131"/>
      <c r="AN78" s="151"/>
      <c r="AO78" s="151"/>
      <c r="AP78" s="151"/>
      <c r="AQ78" s="151"/>
      <c r="AR78" s="151"/>
      <c r="AS78" s="151"/>
      <c r="AT78" s="151"/>
      <c r="AU78" s="151"/>
      <c r="AV78" s="151"/>
      <c r="AW78" s="151"/>
      <c r="AX78" s="151"/>
      <c r="AY78" s="151"/>
      <c r="AZ78" s="151"/>
      <c r="BA78" s="151"/>
      <c r="BB78" s="151"/>
      <c r="BC78" s="151"/>
      <c r="BD78" s="151"/>
      <c r="BE78" s="151"/>
      <c r="BF78" s="151"/>
      <c r="BG78" s="151"/>
    </row>
    <row r="79" spans="1:59" ht="11.5" customHeight="1" x14ac:dyDescent="0.35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31"/>
      <c r="AI79" s="131"/>
      <c r="AJ79" s="131"/>
      <c r="AK79" s="131"/>
      <c r="AL79" s="131"/>
      <c r="AM79" s="13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</row>
    <row r="80" spans="1:59" ht="11.5" customHeight="1" x14ac:dyDescent="0.35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31"/>
      <c r="AI80" s="131"/>
      <c r="AJ80" s="131"/>
      <c r="AK80" s="131"/>
      <c r="AL80" s="131"/>
      <c r="AM80" s="13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</row>
    <row r="81" spans="1:59" ht="11.5" customHeight="1" x14ac:dyDescent="0.35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  <c r="AH81" s="131"/>
      <c r="AI81" s="131"/>
      <c r="AJ81" s="131"/>
      <c r="AK81" s="131"/>
      <c r="AL81" s="131"/>
      <c r="AM81" s="13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</row>
    <row r="82" spans="1:59" ht="11.5" customHeight="1" x14ac:dyDescent="0.35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  <c r="AH82" s="131"/>
      <c r="AI82" s="131"/>
      <c r="AJ82" s="131"/>
      <c r="AK82" s="131"/>
      <c r="AL82" s="131"/>
      <c r="AM82" s="13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151"/>
    </row>
    <row r="83" spans="1:59" ht="11.5" customHeight="1" x14ac:dyDescent="0.35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  <c r="AH83" s="131"/>
      <c r="AI83" s="131"/>
      <c r="AJ83" s="131"/>
      <c r="AK83" s="131"/>
      <c r="AL83" s="131"/>
      <c r="AM83" s="131"/>
      <c r="AN83" s="151"/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151"/>
    </row>
    <row r="84" spans="1:59" ht="11.5" customHeight="1" x14ac:dyDescent="0.35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31"/>
      <c r="AI84" s="131"/>
      <c r="AJ84" s="131"/>
      <c r="AK84" s="131"/>
      <c r="AL84" s="131"/>
      <c r="AM84" s="131"/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151"/>
    </row>
    <row r="85" spans="1:59" ht="11.5" customHeight="1" x14ac:dyDescent="0.35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31"/>
      <c r="AI85" s="131"/>
      <c r="AJ85" s="131"/>
      <c r="AK85" s="131"/>
      <c r="AL85" s="131"/>
      <c r="AM85" s="13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151"/>
    </row>
    <row r="86" spans="1:59" ht="11.5" customHeight="1" x14ac:dyDescent="0.35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31"/>
      <c r="AI86" s="131"/>
      <c r="AJ86" s="131"/>
      <c r="AK86" s="131"/>
      <c r="AL86" s="131"/>
      <c r="AM86" s="131"/>
      <c r="AN86" s="151"/>
      <c r="AO86" s="151"/>
      <c r="AP86" s="151"/>
      <c r="AQ86" s="151"/>
      <c r="AR86" s="151"/>
      <c r="AS86" s="151"/>
      <c r="AT86" s="151"/>
      <c r="AU86" s="151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1"/>
      <c r="BG86" s="151"/>
    </row>
    <row r="87" spans="1:59" ht="11.5" customHeight="1" x14ac:dyDescent="0.3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31"/>
      <c r="AI87" s="131"/>
      <c r="AJ87" s="131"/>
      <c r="AK87" s="131"/>
      <c r="AL87" s="131"/>
      <c r="AM87" s="13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151"/>
    </row>
    <row r="88" spans="1:59" ht="11.5" customHeight="1" x14ac:dyDescent="0.3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</row>
    <row r="89" spans="1:59" ht="11.5" customHeight="1" x14ac:dyDescent="0.3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</row>
    <row r="90" spans="1:59" ht="11.5" customHeight="1" x14ac:dyDescent="0.3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</row>
    <row r="91" spans="1:59" ht="11.5" customHeight="1" x14ac:dyDescent="0.35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M91" s="131"/>
      <c r="O91" s="131"/>
      <c r="P91" s="131"/>
      <c r="Q91" s="131"/>
      <c r="R91" s="131"/>
      <c r="S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</row>
    <row r="92" spans="1:59" ht="11.5" customHeight="1" x14ac:dyDescent="0.35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</row>
    <row r="93" spans="1:59" ht="11.5" customHeight="1" x14ac:dyDescent="0.35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</row>
    <row r="94" spans="1:59" ht="11.5" customHeight="1" x14ac:dyDescent="0.35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</row>
    <row r="95" spans="1:59" ht="11.5" customHeight="1" x14ac:dyDescent="0.3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</row>
    <row r="96" spans="1:59" ht="11.5" customHeight="1" x14ac:dyDescent="0.35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</row>
    <row r="97" spans="1:52" ht="11.5" customHeight="1" x14ac:dyDescent="0.35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</row>
    <row r="98" spans="1:52" ht="11.5" customHeight="1" x14ac:dyDescent="0.35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</row>
    <row r="99" spans="1:52" ht="11.5" customHeight="1" x14ac:dyDescent="0.35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</row>
    <row r="100" spans="1:52" ht="11.5" customHeight="1" x14ac:dyDescent="0.35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</row>
    <row r="101" spans="1:52" ht="11.5" customHeight="1" x14ac:dyDescent="0.35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</row>
    <row r="102" spans="1:52" ht="11.5" customHeight="1" x14ac:dyDescent="0.35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</row>
    <row r="103" spans="1:52" ht="11.5" customHeight="1" x14ac:dyDescent="0.35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</row>
    <row r="104" spans="1:52" ht="11.5" customHeight="1" x14ac:dyDescent="0.35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</row>
    <row r="105" spans="1:52" ht="11.5" customHeight="1" x14ac:dyDescent="0.3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</row>
    <row r="106" spans="1:52" ht="11.5" customHeight="1" x14ac:dyDescent="0.35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</row>
    <row r="107" spans="1:52" ht="11.5" customHeight="1" x14ac:dyDescent="0.35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</row>
    <row r="108" spans="1:52" ht="11.5" customHeight="1" x14ac:dyDescent="0.35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</row>
    <row r="109" spans="1:52" ht="11.5" customHeight="1" x14ac:dyDescent="0.35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</row>
    <row r="110" spans="1:52" ht="11.5" customHeight="1" x14ac:dyDescent="0.35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</row>
    <row r="111" spans="1:52" ht="11.5" customHeight="1" x14ac:dyDescent="0.35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</row>
    <row r="112" spans="1:52" ht="11.5" customHeight="1" x14ac:dyDescent="0.35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</row>
    <row r="113" spans="1:52" ht="11.5" customHeight="1" x14ac:dyDescent="0.35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</row>
    <row r="114" spans="1:52" ht="11.5" customHeight="1" x14ac:dyDescent="0.35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</row>
    <row r="115" spans="1:52" ht="11.5" customHeight="1" x14ac:dyDescent="0.3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</row>
    <row r="116" spans="1:52" ht="11.5" customHeight="1" x14ac:dyDescent="0.35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</row>
    <row r="117" spans="1:52" ht="11.5" customHeight="1" x14ac:dyDescent="0.35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</row>
    <row r="118" spans="1:52" ht="11.5" customHeight="1" x14ac:dyDescent="0.35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</row>
    <row r="119" spans="1:52" ht="11.5" customHeight="1" x14ac:dyDescent="0.35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</row>
    <row r="120" spans="1:52" ht="11.5" customHeight="1" x14ac:dyDescent="0.35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</row>
    <row r="121" spans="1:52" ht="11.5" customHeight="1" x14ac:dyDescent="0.35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</row>
    <row r="122" spans="1:52" ht="11.5" customHeight="1" x14ac:dyDescent="0.35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</row>
    <row r="123" spans="1:52" ht="11.5" customHeight="1" x14ac:dyDescent="0.35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</row>
    <row r="124" spans="1:52" ht="11.5" customHeight="1" x14ac:dyDescent="0.35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</row>
    <row r="125" spans="1:52" ht="11.5" customHeight="1" x14ac:dyDescent="0.35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</row>
    <row r="126" spans="1:52" ht="11.5" customHeight="1" x14ac:dyDescent="0.35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</row>
    <row r="127" spans="1:52" ht="11.5" customHeight="1" x14ac:dyDescent="0.35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</row>
    <row r="128" spans="1:52" ht="11.5" customHeight="1" x14ac:dyDescent="0.35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</row>
    <row r="129" spans="1:52" ht="11.5" customHeight="1" x14ac:dyDescent="0.35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</row>
    <row r="130" spans="1:52" ht="11.5" customHeight="1" x14ac:dyDescent="0.35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</row>
    <row r="131" spans="1:52" ht="11.5" customHeight="1" x14ac:dyDescent="0.35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</row>
    <row r="132" spans="1:52" ht="11.5" customHeight="1" x14ac:dyDescent="0.35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</row>
    <row r="133" spans="1:52" ht="11.5" customHeight="1" x14ac:dyDescent="0.35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</row>
    <row r="134" spans="1:52" ht="11.5" customHeight="1" x14ac:dyDescent="0.35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</row>
    <row r="135" spans="1:52" ht="11.5" customHeight="1" x14ac:dyDescent="0.35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</row>
    <row r="136" spans="1:52" ht="11.5" customHeight="1" x14ac:dyDescent="0.35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</row>
    <row r="137" spans="1:52" ht="11.5" customHeight="1" x14ac:dyDescent="0.35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</row>
    <row r="138" spans="1:52" ht="11.5" customHeight="1" x14ac:dyDescent="0.35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</row>
    <row r="139" spans="1:52" ht="11.5" customHeight="1" x14ac:dyDescent="0.35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</row>
    <row r="140" spans="1:52" ht="11.5" customHeight="1" x14ac:dyDescent="0.35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</row>
    <row r="141" spans="1:52" ht="11.5" customHeight="1" x14ac:dyDescent="0.35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</row>
    <row r="142" spans="1:52" ht="11.5" customHeight="1" x14ac:dyDescent="0.35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</row>
    <row r="143" spans="1:52" ht="11.5" customHeight="1" x14ac:dyDescent="0.35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</row>
    <row r="144" spans="1:52" ht="11.5" customHeight="1" x14ac:dyDescent="0.35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</row>
    <row r="145" spans="1:56" ht="11.5" customHeight="1" x14ac:dyDescent="0.35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</row>
    <row r="146" spans="1:56" ht="11.5" customHeight="1" x14ac:dyDescent="0.35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AB146" s="177"/>
      <c r="AC146" s="177"/>
      <c r="AD146" s="177"/>
      <c r="AE146" s="177"/>
      <c r="AF146" s="177"/>
      <c r="AG146" s="177"/>
      <c r="AH146" s="177"/>
      <c r="AI146" s="177"/>
      <c r="AJ146" s="177"/>
      <c r="AK146" s="177"/>
      <c r="AL146" s="177"/>
      <c r="AM146" s="177"/>
      <c r="AN146" s="177"/>
      <c r="AO146" s="177"/>
      <c r="AP146" s="177"/>
      <c r="AQ146" s="177"/>
      <c r="AR146" s="177"/>
      <c r="AS146" s="177"/>
      <c r="AT146" s="177"/>
      <c r="AU146" s="177"/>
      <c r="AV146" s="177"/>
      <c r="AW146" s="177"/>
      <c r="AX146" s="177"/>
      <c r="AY146" s="177"/>
      <c r="AZ146" s="177"/>
      <c r="BA146" s="177"/>
      <c r="BB146" s="177"/>
      <c r="BC146" s="177"/>
      <c r="BD146" s="177"/>
    </row>
    <row r="147" spans="1:56" ht="11.5" customHeight="1" x14ac:dyDescent="0.35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AB147" s="177"/>
      <c r="AC147" s="177"/>
      <c r="AD147" s="177"/>
      <c r="AE147" s="177"/>
      <c r="AF147" s="177"/>
      <c r="AG147" s="177"/>
      <c r="AH147" s="177"/>
      <c r="AI147" s="177"/>
      <c r="AJ147" s="177"/>
      <c r="AK147" s="177"/>
      <c r="AL147" s="177"/>
      <c r="AM147" s="177"/>
      <c r="AN147" s="177"/>
      <c r="AO147" s="177"/>
      <c r="AP147" s="177"/>
      <c r="AQ147" s="177"/>
      <c r="AR147" s="177"/>
      <c r="AS147" s="177"/>
      <c r="AT147" s="177"/>
      <c r="AU147" s="177"/>
      <c r="AV147" s="177"/>
      <c r="AW147" s="177"/>
      <c r="AX147" s="177"/>
      <c r="AY147" s="177"/>
      <c r="AZ147" s="177"/>
      <c r="BA147" s="177"/>
      <c r="BB147" s="177"/>
      <c r="BC147" s="177"/>
      <c r="BD147" s="177"/>
    </row>
    <row r="148" spans="1:56" ht="11.5" customHeight="1" x14ac:dyDescent="0.35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AB148" s="177"/>
      <c r="AC148" s="177"/>
      <c r="AD148" s="177"/>
      <c r="AE148" s="177"/>
      <c r="AF148" s="177"/>
      <c r="AG148" s="177"/>
      <c r="AH148" s="177"/>
      <c r="AI148" s="177"/>
      <c r="AJ148" s="177"/>
      <c r="AK148" s="177"/>
      <c r="AL148" s="177"/>
      <c r="AM148" s="177"/>
      <c r="AN148" s="177"/>
      <c r="AO148" s="177"/>
      <c r="AP148" s="177"/>
      <c r="AQ148" s="177"/>
      <c r="AR148" s="177"/>
      <c r="AS148" s="177"/>
      <c r="AT148" s="177"/>
      <c r="AU148" s="177"/>
      <c r="AV148" s="177"/>
      <c r="AW148" s="177"/>
      <c r="AX148" s="177"/>
      <c r="AY148" s="177"/>
      <c r="AZ148" s="177"/>
      <c r="BA148" s="177"/>
      <c r="BB148" s="177"/>
      <c r="BC148" s="177"/>
      <c r="BD148" s="177"/>
    </row>
    <row r="149" spans="1:56" ht="11.5" customHeight="1" x14ac:dyDescent="0.35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</row>
    <row r="150" spans="1:56" ht="11.5" customHeight="1" x14ac:dyDescent="0.35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AB150" s="177"/>
      <c r="AC150" s="177"/>
      <c r="AD150" s="177"/>
      <c r="AE150" s="177"/>
      <c r="AF150" s="177"/>
      <c r="AG150" s="177"/>
      <c r="AH150" s="177"/>
      <c r="AI150" s="177"/>
      <c r="AJ150" s="177"/>
      <c r="AK150" s="177"/>
      <c r="AL150" s="177"/>
      <c r="AM150" s="177"/>
      <c r="AN150" s="177"/>
      <c r="AO150" s="177"/>
      <c r="AP150" s="177"/>
      <c r="AQ150" s="177"/>
      <c r="AR150" s="177"/>
      <c r="AS150" s="177"/>
      <c r="AT150" s="177"/>
      <c r="AU150" s="177"/>
      <c r="AV150" s="177"/>
      <c r="AW150" s="177"/>
      <c r="AX150" s="177"/>
      <c r="AY150" s="177"/>
      <c r="AZ150" s="177"/>
      <c r="BA150" s="177"/>
      <c r="BB150" s="177"/>
      <c r="BC150" s="177"/>
      <c r="BD150" s="177"/>
    </row>
    <row r="151" spans="1:56" ht="11.5" customHeight="1" x14ac:dyDescent="0.35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</row>
    <row r="152" spans="1:56" ht="11.5" customHeight="1" x14ac:dyDescent="0.35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AB152" s="177"/>
      <c r="AC152" s="177"/>
      <c r="AD152" s="177"/>
      <c r="AE152" s="177"/>
      <c r="AF152" s="177"/>
      <c r="AG152" s="177"/>
      <c r="AH152" s="177"/>
      <c r="AI152" s="177"/>
      <c r="AJ152" s="177"/>
      <c r="AK152" s="177"/>
      <c r="AL152" s="177"/>
      <c r="AM152" s="177"/>
      <c r="AN152" s="177"/>
      <c r="AO152" s="177"/>
      <c r="AP152" s="177"/>
      <c r="AQ152" s="177"/>
      <c r="AR152" s="177"/>
      <c r="AS152" s="177"/>
      <c r="AT152" s="177"/>
      <c r="AU152" s="177"/>
      <c r="AV152" s="177"/>
      <c r="AW152" s="177"/>
      <c r="AX152" s="177"/>
      <c r="AY152" s="177"/>
      <c r="AZ152" s="177"/>
      <c r="BA152" s="177"/>
      <c r="BB152" s="177"/>
      <c r="BC152" s="177"/>
      <c r="BD152" s="177"/>
    </row>
    <row r="153" spans="1:56" ht="11.5" customHeight="1" x14ac:dyDescent="0.35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AB153" s="177"/>
      <c r="AC153" s="177"/>
      <c r="AD153" s="177"/>
      <c r="AE153" s="177"/>
      <c r="AF153" s="177"/>
      <c r="AG153" s="177"/>
      <c r="AH153" s="177"/>
      <c r="AI153" s="177"/>
      <c r="AJ153" s="177"/>
      <c r="AK153" s="177"/>
      <c r="AL153" s="177"/>
      <c r="AM153" s="177"/>
      <c r="AN153" s="177"/>
      <c r="AO153" s="177"/>
      <c r="AP153" s="177"/>
      <c r="AQ153" s="177"/>
      <c r="AR153" s="177"/>
      <c r="AS153" s="177"/>
      <c r="AT153" s="177"/>
      <c r="AU153" s="177"/>
      <c r="AV153" s="177"/>
      <c r="AW153" s="177"/>
      <c r="AX153" s="177"/>
      <c r="AY153" s="177"/>
      <c r="AZ153" s="177"/>
      <c r="BA153" s="177"/>
      <c r="BB153" s="177"/>
      <c r="BC153" s="177"/>
      <c r="BD153" s="177"/>
    </row>
    <row r="154" spans="1:56" ht="11.5" customHeight="1" x14ac:dyDescent="0.35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AB154" s="177"/>
      <c r="AC154" s="177"/>
      <c r="AD154" s="177"/>
      <c r="AE154" s="177"/>
      <c r="AF154" s="177"/>
      <c r="AG154" s="177"/>
      <c r="AH154" s="177"/>
      <c r="AI154" s="177"/>
      <c r="AJ154" s="177"/>
      <c r="AK154" s="177"/>
      <c r="AL154" s="177"/>
      <c r="AM154" s="177"/>
      <c r="AN154" s="177"/>
      <c r="AO154" s="177"/>
      <c r="AP154" s="177"/>
      <c r="AQ154" s="177"/>
      <c r="AR154" s="177"/>
      <c r="AS154" s="177"/>
      <c r="AT154" s="177"/>
      <c r="AU154" s="177"/>
      <c r="AV154" s="177"/>
      <c r="AW154" s="177"/>
      <c r="AX154" s="177"/>
      <c r="AY154" s="177"/>
      <c r="AZ154" s="177"/>
      <c r="BA154" s="177"/>
      <c r="BB154" s="177"/>
      <c r="BC154" s="177"/>
      <c r="BD154" s="177"/>
    </row>
    <row r="155" spans="1:56" ht="11.5" customHeight="1" x14ac:dyDescent="0.35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AB155" s="177"/>
      <c r="AC155" s="177"/>
      <c r="AD155" s="177"/>
      <c r="AE155" s="177"/>
      <c r="AF155" s="177"/>
      <c r="AG155" s="177"/>
      <c r="AH155" s="177"/>
      <c r="AI155" s="177"/>
      <c r="AJ155" s="177"/>
      <c r="AK155" s="177"/>
      <c r="AL155" s="177"/>
      <c r="AM155" s="177"/>
      <c r="AN155" s="177"/>
      <c r="AO155" s="177"/>
      <c r="AP155" s="177"/>
      <c r="AQ155" s="177"/>
      <c r="AR155" s="177"/>
      <c r="AS155" s="177"/>
      <c r="AT155" s="177"/>
      <c r="AU155" s="177"/>
      <c r="AV155" s="177"/>
      <c r="AW155" s="177"/>
      <c r="AX155" s="177"/>
      <c r="AY155" s="177"/>
      <c r="AZ155" s="177"/>
      <c r="BA155" s="177"/>
      <c r="BB155" s="177"/>
      <c r="BC155" s="177"/>
      <c r="BD155" s="177"/>
    </row>
    <row r="156" spans="1:56" ht="11.5" customHeight="1" x14ac:dyDescent="0.35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AB156" s="177"/>
      <c r="AC156" s="177"/>
      <c r="AD156" s="177"/>
      <c r="AE156" s="177"/>
      <c r="AF156" s="177"/>
      <c r="AG156" s="177"/>
      <c r="AH156" s="177"/>
      <c r="AI156" s="177"/>
      <c r="AJ156" s="177"/>
      <c r="AK156" s="177"/>
      <c r="AL156" s="177"/>
      <c r="AM156" s="177"/>
      <c r="AN156" s="177"/>
      <c r="AO156" s="177"/>
      <c r="AP156" s="177"/>
      <c r="AQ156" s="177"/>
      <c r="AR156" s="177"/>
      <c r="AS156" s="177"/>
      <c r="AT156" s="177"/>
      <c r="AU156" s="177"/>
      <c r="AV156" s="177"/>
      <c r="AW156" s="177"/>
      <c r="AX156" s="177"/>
      <c r="AY156" s="177"/>
      <c r="AZ156" s="177"/>
      <c r="BA156" s="177"/>
      <c r="BB156" s="177"/>
      <c r="BC156" s="177"/>
      <c r="BD156" s="177"/>
    </row>
    <row r="157" spans="1:56" ht="11.5" customHeight="1" x14ac:dyDescent="0.35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AB157" s="177"/>
      <c r="AC157" s="177"/>
      <c r="AD157" s="177"/>
      <c r="AE157" s="177"/>
      <c r="AF157" s="177"/>
      <c r="AG157" s="177"/>
      <c r="AH157" s="177"/>
      <c r="AI157" s="177"/>
      <c r="AJ157" s="177"/>
      <c r="AK157" s="177"/>
      <c r="AL157" s="177"/>
      <c r="AM157" s="177"/>
      <c r="AN157" s="177"/>
      <c r="AO157" s="177"/>
      <c r="AP157" s="177"/>
      <c r="AQ157" s="177"/>
      <c r="AR157" s="177"/>
      <c r="AS157" s="177"/>
      <c r="AT157" s="177"/>
      <c r="AU157" s="177"/>
      <c r="AV157" s="177"/>
      <c r="AW157" s="177"/>
      <c r="AX157" s="177"/>
      <c r="AY157" s="177"/>
      <c r="AZ157" s="177"/>
      <c r="BA157" s="177"/>
      <c r="BB157" s="177"/>
      <c r="BC157" s="177"/>
      <c r="BD157" s="177"/>
    </row>
    <row r="158" spans="1:56" ht="11.5" customHeight="1" x14ac:dyDescent="0.35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  <c r="AN158" s="177"/>
      <c r="AO158" s="177"/>
      <c r="AP158" s="177"/>
      <c r="AQ158" s="177"/>
      <c r="AR158" s="177"/>
      <c r="AS158" s="177"/>
      <c r="AT158" s="177"/>
      <c r="AU158" s="177"/>
      <c r="AV158" s="177"/>
      <c r="AW158" s="177"/>
      <c r="AX158" s="177"/>
      <c r="AY158" s="177"/>
      <c r="AZ158" s="177"/>
      <c r="BA158" s="177"/>
      <c r="BB158" s="177"/>
      <c r="BC158" s="177"/>
      <c r="BD158" s="177"/>
    </row>
    <row r="159" spans="1:56" ht="11.5" customHeight="1" x14ac:dyDescent="0.35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AB159" s="177"/>
      <c r="AC159" s="177"/>
      <c r="AD159" s="177"/>
      <c r="AE159" s="177"/>
      <c r="AF159" s="177"/>
      <c r="AG159" s="177"/>
      <c r="AH159" s="177"/>
      <c r="AI159" s="177"/>
      <c r="AJ159" s="177"/>
      <c r="AK159" s="177"/>
      <c r="AL159" s="177"/>
      <c r="AM159" s="177"/>
      <c r="AN159" s="177"/>
      <c r="AO159" s="177"/>
      <c r="AP159" s="177"/>
      <c r="AQ159" s="177"/>
      <c r="AR159" s="177"/>
      <c r="AS159" s="177"/>
      <c r="AT159" s="177"/>
      <c r="AU159" s="177"/>
      <c r="AV159" s="177"/>
      <c r="AW159" s="177"/>
      <c r="AX159" s="177"/>
      <c r="AY159" s="177"/>
      <c r="AZ159" s="177"/>
      <c r="BA159" s="177"/>
      <c r="BB159" s="177"/>
      <c r="BC159" s="177"/>
      <c r="BD159" s="177"/>
    </row>
    <row r="160" spans="1:56" ht="11.5" customHeight="1" x14ac:dyDescent="0.35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AB160" s="177"/>
      <c r="AC160" s="177"/>
      <c r="AD160" s="177"/>
      <c r="AE160" s="177"/>
      <c r="AF160" s="177"/>
      <c r="AG160" s="177"/>
      <c r="AH160" s="177"/>
      <c r="AI160" s="177"/>
      <c r="AJ160" s="177"/>
      <c r="AK160" s="177"/>
      <c r="AL160" s="177"/>
      <c r="AM160" s="177"/>
      <c r="AN160" s="177"/>
      <c r="AO160" s="177"/>
      <c r="AP160" s="177"/>
      <c r="AQ160" s="177"/>
      <c r="AR160" s="177"/>
      <c r="AS160" s="177"/>
      <c r="AT160" s="177"/>
      <c r="AU160" s="177"/>
      <c r="AV160" s="177"/>
      <c r="AW160" s="177"/>
      <c r="AX160" s="177"/>
      <c r="AY160" s="177"/>
      <c r="AZ160" s="177"/>
      <c r="BA160" s="177"/>
      <c r="BB160" s="177"/>
      <c r="BC160" s="177"/>
      <c r="BD160" s="177"/>
    </row>
    <row r="161" spans="1:56" ht="11.5" customHeight="1" x14ac:dyDescent="0.35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AB161" s="177"/>
      <c r="AC161" s="177"/>
      <c r="AD161" s="177"/>
      <c r="AE161" s="177"/>
      <c r="AF161" s="177"/>
      <c r="AG161" s="177"/>
      <c r="AH161" s="177"/>
      <c r="AI161" s="177"/>
      <c r="AJ161" s="177"/>
      <c r="AK161" s="177"/>
      <c r="AL161" s="177"/>
      <c r="AM161" s="177"/>
      <c r="AN161" s="177"/>
      <c r="AO161" s="177"/>
      <c r="AP161" s="177"/>
      <c r="AQ161" s="177"/>
      <c r="AR161" s="177"/>
      <c r="AS161" s="177"/>
      <c r="AT161" s="177"/>
      <c r="AU161" s="177"/>
      <c r="AV161" s="177"/>
      <c r="AW161" s="177"/>
      <c r="AX161" s="177"/>
      <c r="AY161" s="177"/>
      <c r="AZ161" s="177"/>
      <c r="BA161" s="177"/>
      <c r="BB161" s="177"/>
      <c r="BC161" s="177"/>
      <c r="BD161" s="177"/>
    </row>
    <row r="162" spans="1:56" ht="11.5" customHeight="1" x14ac:dyDescent="0.35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AB162" s="177"/>
      <c r="AC162" s="177"/>
      <c r="AD162" s="177"/>
      <c r="AE162" s="177"/>
      <c r="AF162" s="177"/>
      <c r="AG162" s="177"/>
      <c r="AH162" s="177"/>
      <c r="AI162" s="177"/>
      <c r="AJ162" s="177"/>
      <c r="AK162" s="177"/>
      <c r="AL162" s="177"/>
      <c r="AM162" s="177"/>
      <c r="AN162" s="177"/>
      <c r="AO162" s="177"/>
      <c r="AP162" s="177"/>
      <c r="AQ162" s="177"/>
      <c r="AR162" s="177"/>
      <c r="AS162" s="177"/>
      <c r="AT162" s="177"/>
      <c r="AU162" s="177"/>
      <c r="AV162" s="177"/>
      <c r="AW162" s="177"/>
      <c r="AX162" s="177"/>
      <c r="AY162" s="177"/>
      <c r="AZ162" s="177"/>
      <c r="BA162" s="177"/>
      <c r="BB162" s="177"/>
      <c r="BC162" s="177"/>
      <c r="BD162" s="177"/>
    </row>
    <row r="163" spans="1:56" ht="11.5" customHeight="1" x14ac:dyDescent="0.35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AB163" s="177"/>
      <c r="AC163" s="177"/>
      <c r="AD163" s="177"/>
      <c r="AE163" s="177"/>
      <c r="AF163" s="177"/>
      <c r="AG163" s="177"/>
      <c r="AH163" s="177"/>
      <c r="AI163" s="177"/>
      <c r="AJ163" s="177"/>
      <c r="AK163" s="177"/>
      <c r="AL163" s="177"/>
      <c r="AM163" s="177"/>
      <c r="AN163" s="177"/>
      <c r="AO163" s="177"/>
      <c r="AP163" s="177"/>
      <c r="AQ163" s="177"/>
      <c r="AR163" s="177"/>
      <c r="AS163" s="177"/>
      <c r="AT163" s="177"/>
      <c r="AU163" s="177"/>
      <c r="AV163" s="177"/>
      <c r="AW163" s="177"/>
      <c r="AX163" s="177"/>
      <c r="AY163" s="177"/>
      <c r="AZ163" s="177"/>
      <c r="BA163" s="177"/>
      <c r="BB163" s="177"/>
      <c r="BC163" s="177"/>
      <c r="BD163" s="177"/>
    </row>
    <row r="164" spans="1:56" ht="11.5" customHeight="1" x14ac:dyDescent="0.35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AB164" s="177"/>
      <c r="AC164" s="177"/>
      <c r="AD164" s="177"/>
      <c r="AE164" s="177"/>
      <c r="AF164" s="177"/>
      <c r="AG164" s="177"/>
      <c r="AH164" s="177"/>
      <c r="AI164" s="177"/>
      <c r="AJ164" s="177"/>
      <c r="AK164" s="177"/>
      <c r="AL164" s="177"/>
      <c r="AM164" s="177"/>
      <c r="AN164" s="177"/>
      <c r="AO164" s="177"/>
      <c r="AP164" s="177"/>
      <c r="AQ164" s="177"/>
      <c r="AR164" s="177"/>
      <c r="AS164" s="177"/>
      <c r="AT164" s="177"/>
      <c r="AU164" s="177"/>
      <c r="AV164" s="177"/>
      <c r="AW164" s="177"/>
      <c r="AX164" s="177"/>
      <c r="AY164" s="177"/>
      <c r="AZ164" s="177"/>
      <c r="BA164" s="177"/>
      <c r="BB164" s="177"/>
      <c r="BC164" s="177"/>
      <c r="BD164" s="177"/>
    </row>
    <row r="165" spans="1:56" ht="11.5" customHeight="1" x14ac:dyDescent="0.35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</row>
    <row r="166" spans="1:56" ht="11.5" customHeight="1" x14ac:dyDescent="0.35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AB166" s="177"/>
      <c r="AC166" s="177"/>
      <c r="AD166" s="177"/>
      <c r="AE166" s="177"/>
      <c r="AF166" s="177"/>
      <c r="AG166" s="177"/>
      <c r="AH166" s="177"/>
      <c r="AI166" s="177"/>
      <c r="AJ166" s="177"/>
      <c r="AK166" s="177"/>
      <c r="AL166" s="177"/>
      <c r="AM166" s="177"/>
      <c r="AN166" s="177"/>
      <c r="AO166" s="177"/>
      <c r="AP166" s="177"/>
      <c r="AQ166" s="177"/>
      <c r="AR166" s="177"/>
      <c r="AS166" s="177"/>
      <c r="AT166" s="177"/>
      <c r="AU166" s="177"/>
      <c r="AV166" s="177"/>
      <c r="AW166" s="177"/>
      <c r="AX166" s="177"/>
      <c r="AY166" s="177"/>
      <c r="AZ166" s="177"/>
      <c r="BA166" s="177"/>
      <c r="BB166" s="177"/>
      <c r="BC166" s="177"/>
      <c r="BD166" s="177"/>
    </row>
    <row r="167" spans="1:56" ht="11.5" customHeight="1" x14ac:dyDescent="0.35">
      <c r="AB167" s="177"/>
      <c r="AC167" s="177"/>
      <c r="AD167" s="177"/>
      <c r="AE167" s="177"/>
      <c r="AF167" s="177"/>
      <c r="AG167" s="177"/>
      <c r="AH167" s="177"/>
      <c r="AI167" s="177"/>
      <c r="AJ167" s="177"/>
      <c r="AK167" s="177"/>
      <c r="AL167" s="177"/>
      <c r="AM167" s="177"/>
      <c r="AN167" s="177"/>
      <c r="AO167" s="177"/>
      <c r="AP167" s="177"/>
      <c r="AQ167" s="177"/>
      <c r="AR167" s="177"/>
      <c r="AS167" s="177"/>
      <c r="AT167" s="177"/>
      <c r="AU167" s="177"/>
      <c r="AV167" s="177"/>
      <c r="AW167" s="177"/>
      <c r="AX167" s="177"/>
      <c r="AY167" s="177"/>
      <c r="AZ167" s="177"/>
      <c r="BA167" s="177"/>
      <c r="BB167" s="177"/>
      <c r="BC167" s="177"/>
      <c r="BD167" s="177"/>
    </row>
    <row r="168" spans="1:56" ht="11.5" customHeight="1" x14ac:dyDescent="0.35">
      <c r="AB168" s="177"/>
      <c r="AC168" s="177"/>
      <c r="AD168" s="177"/>
      <c r="AE168" s="177"/>
      <c r="AF168" s="177"/>
      <c r="AG168" s="177"/>
      <c r="AH168" s="177"/>
      <c r="AI168" s="177"/>
      <c r="AJ168" s="177"/>
      <c r="AK168" s="177"/>
      <c r="AL168" s="177"/>
      <c r="AM168" s="177"/>
      <c r="AN168" s="177"/>
      <c r="AO168" s="177"/>
      <c r="AP168" s="177"/>
      <c r="AQ168" s="177"/>
      <c r="AR168" s="177"/>
      <c r="AS168" s="177"/>
      <c r="AT168" s="177"/>
      <c r="AU168" s="177"/>
      <c r="AV168" s="177"/>
      <c r="AW168" s="177"/>
      <c r="AX168" s="177"/>
      <c r="AY168" s="177"/>
      <c r="AZ168" s="177"/>
      <c r="BA168" s="177"/>
      <c r="BB168" s="177"/>
      <c r="BC168" s="177"/>
      <c r="BD168" s="177"/>
    </row>
    <row r="169" spans="1:56" ht="11.5" customHeight="1" x14ac:dyDescent="0.35">
      <c r="AB169" s="177"/>
      <c r="AC169" s="177"/>
      <c r="AD169" s="177"/>
      <c r="AE169" s="177"/>
      <c r="AF169" s="177"/>
      <c r="AG169" s="177"/>
      <c r="AH169" s="177"/>
      <c r="AI169" s="177"/>
      <c r="AJ169" s="177"/>
      <c r="AK169" s="177"/>
      <c r="AL169" s="177"/>
      <c r="AM169" s="177"/>
      <c r="AN169" s="177"/>
      <c r="AO169" s="177"/>
      <c r="AP169" s="177"/>
      <c r="AQ169" s="177"/>
      <c r="AR169" s="177"/>
      <c r="AS169" s="177"/>
      <c r="AT169" s="177"/>
      <c r="AU169" s="177"/>
      <c r="AV169" s="177"/>
      <c r="AW169" s="177"/>
      <c r="AX169" s="177"/>
      <c r="AY169" s="177"/>
      <c r="AZ169" s="177"/>
      <c r="BA169" s="177"/>
      <c r="BB169" s="177"/>
      <c r="BC169" s="177"/>
      <c r="BD169" s="177"/>
    </row>
    <row r="170" spans="1:56" ht="11.5" customHeight="1" x14ac:dyDescent="0.35"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77"/>
      <c r="AP170" s="177"/>
      <c r="AQ170" s="177"/>
      <c r="AR170" s="177"/>
      <c r="AS170" s="177"/>
      <c r="AT170" s="177"/>
      <c r="AU170" s="177"/>
      <c r="AV170" s="177"/>
      <c r="AW170" s="177"/>
      <c r="AX170" s="177"/>
      <c r="AY170" s="177"/>
      <c r="AZ170" s="177"/>
      <c r="BA170" s="177"/>
      <c r="BB170" s="177"/>
      <c r="BC170" s="177"/>
      <c r="BD170" s="177"/>
    </row>
    <row r="171" spans="1:56" ht="11.5" customHeight="1" x14ac:dyDescent="0.35">
      <c r="AB171" s="177"/>
      <c r="AC171" s="177"/>
      <c r="AD171" s="177"/>
      <c r="AE171" s="177"/>
      <c r="AF171" s="177"/>
      <c r="AG171" s="177"/>
      <c r="AH171" s="177"/>
      <c r="AI171" s="177"/>
      <c r="AJ171" s="177"/>
      <c r="AK171" s="177"/>
      <c r="AL171" s="177"/>
      <c r="AM171" s="177"/>
      <c r="AN171" s="177"/>
      <c r="AO171" s="177"/>
      <c r="AP171" s="177"/>
      <c r="AQ171" s="177"/>
      <c r="AR171" s="177"/>
      <c r="AS171" s="177"/>
      <c r="AT171" s="177"/>
      <c r="AU171" s="177"/>
      <c r="AV171" s="177"/>
      <c r="AW171" s="177"/>
      <c r="AX171" s="177"/>
      <c r="AY171" s="177"/>
      <c r="AZ171" s="177"/>
      <c r="BA171" s="177"/>
      <c r="BB171" s="177"/>
      <c r="BC171" s="177"/>
      <c r="BD171" s="177"/>
    </row>
    <row r="172" spans="1:56" ht="11.5" customHeight="1" x14ac:dyDescent="0.35">
      <c r="AB172" s="177"/>
      <c r="AC172" s="177"/>
      <c r="AD172" s="177"/>
      <c r="AE172" s="177"/>
      <c r="AF172" s="177"/>
      <c r="AG172" s="177"/>
      <c r="AH172" s="177"/>
      <c r="AI172" s="177"/>
      <c r="AJ172" s="177"/>
      <c r="AK172" s="177"/>
      <c r="AL172" s="177"/>
      <c r="AM172" s="177"/>
      <c r="AN172" s="177"/>
      <c r="AO172" s="177"/>
      <c r="AP172" s="177"/>
      <c r="AQ172" s="177"/>
      <c r="AR172" s="177"/>
      <c r="AS172" s="177"/>
      <c r="AT172" s="177"/>
      <c r="AU172" s="177"/>
      <c r="AV172" s="177"/>
      <c r="AW172" s="177"/>
      <c r="AX172" s="177"/>
      <c r="AY172" s="177"/>
      <c r="AZ172" s="177"/>
      <c r="BA172" s="177"/>
      <c r="BB172" s="177"/>
      <c r="BC172" s="177"/>
      <c r="BD172" s="177"/>
    </row>
    <row r="173" spans="1:56" ht="11.5" customHeight="1" x14ac:dyDescent="0.35">
      <c r="AB173" s="177"/>
      <c r="AC173" s="177"/>
      <c r="AD173" s="177"/>
      <c r="AE173" s="177"/>
      <c r="AF173" s="177"/>
      <c r="AG173" s="177"/>
      <c r="AH173" s="177"/>
      <c r="AI173" s="177"/>
      <c r="AJ173" s="177"/>
      <c r="AK173" s="177"/>
      <c r="AL173" s="177"/>
      <c r="AM173" s="177"/>
      <c r="AN173" s="177"/>
      <c r="AO173" s="177"/>
      <c r="AP173" s="177"/>
      <c r="AQ173" s="177"/>
      <c r="AR173" s="177"/>
      <c r="AS173" s="177"/>
      <c r="AT173" s="177"/>
      <c r="AU173" s="177"/>
      <c r="AV173" s="177"/>
      <c r="AW173" s="177"/>
      <c r="AX173" s="177"/>
      <c r="AY173" s="177"/>
      <c r="AZ173" s="177"/>
      <c r="BA173" s="177"/>
      <c r="BB173" s="177"/>
      <c r="BC173" s="177"/>
      <c r="BD173" s="177"/>
    </row>
    <row r="174" spans="1:56" ht="11.5" customHeight="1" x14ac:dyDescent="0.35">
      <c r="AB174" s="177"/>
      <c r="AC174" s="177"/>
      <c r="AD174" s="177"/>
      <c r="AE174" s="177"/>
      <c r="AF174" s="177"/>
      <c r="AG174" s="177"/>
      <c r="AH174" s="177"/>
      <c r="AI174" s="177"/>
      <c r="AJ174" s="177"/>
      <c r="AK174" s="177"/>
      <c r="AL174" s="177"/>
      <c r="AM174" s="177"/>
      <c r="AN174" s="177"/>
      <c r="AO174" s="177"/>
      <c r="AP174" s="177"/>
      <c r="AQ174" s="177"/>
      <c r="AR174" s="177"/>
      <c r="AS174" s="177"/>
      <c r="AT174" s="177"/>
      <c r="AU174" s="177"/>
      <c r="AV174" s="177"/>
      <c r="AW174" s="177"/>
      <c r="AX174" s="177"/>
      <c r="AY174" s="177"/>
      <c r="AZ174" s="177"/>
      <c r="BA174" s="177"/>
      <c r="BB174" s="177"/>
      <c r="BC174" s="177"/>
      <c r="BD174" s="177"/>
    </row>
    <row r="175" spans="1:56" ht="11.5" customHeight="1" x14ac:dyDescent="0.35">
      <c r="AB175" s="177"/>
      <c r="AC175" s="177"/>
      <c r="AD175" s="177"/>
      <c r="AE175" s="177"/>
      <c r="AF175" s="177"/>
      <c r="AG175" s="177"/>
      <c r="AH175" s="177"/>
      <c r="AI175" s="177"/>
      <c r="AJ175" s="177"/>
      <c r="AK175" s="177"/>
      <c r="AL175" s="177"/>
      <c r="AM175" s="177"/>
      <c r="AN175" s="177"/>
      <c r="AO175" s="177"/>
      <c r="AP175" s="177"/>
      <c r="AQ175" s="177"/>
      <c r="AR175" s="177"/>
      <c r="AS175" s="177"/>
      <c r="AT175" s="177"/>
      <c r="AU175" s="177"/>
      <c r="AV175" s="177"/>
      <c r="AW175" s="177"/>
      <c r="AX175" s="177"/>
      <c r="AY175" s="177"/>
      <c r="AZ175" s="177"/>
      <c r="BA175" s="177"/>
      <c r="BB175" s="177"/>
      <c r="BC175" s="177"/>
      <c r="BD175" s="177"/>
    </row>
    <row r="176" spans="1:56" ht="11.5" customHeight="1" x14ac:dyDescent="0.35">
      <c r="AB176" s="177"/>
      <c r="AC176" s="177"/>
      <c r="AD176" s="177"/>
      <c r="AE176" s="177"/>
      <c r="AF176" s="177"/>
      <c r="AG176" s="177"/>
      <c r="AH176" s="177"/>
      <c r="AI176" s="177"/>
      <c r="AJ176" s="177"/>
      <c r="AK176" s="177"/>
      <c r="AL176" s="177"/>
      <c r="AM176" s="177"/>
      <c r="AN176" s="177"/>
      <c r="AO176" s="177"/>
      <c r="AP176" s="177"/>
      <c r="AQ176" s="177"/>
      <c r="AR176" s="177"/>
      <c r="AS176" s="177"/>
      <c r="AT176" s="177"/>
      <c r="AU176" s="177"/>
      <c r="AV176" s="177"/>
      <c r="AW176" s="177"/>
      <c r="AX176" s="177"/>
      <c r="AY176" s="177"/>
      <c r="AZ176" s="177"/>
      <c r="BA176" s="177"/>
      <c r="BB176" s="177"/>
      <c r="BC176" s="177"/>
      <c r="BD176" s="177"/>
    </row>
    <row r="177" spans="28:56" ht="11.5" customHeight="1" x14ac:dyDescent="0.35">
      <c r="AB177" s="177"/>
      <c r="AC177" s="177"/>
      <c r="AD177" s="177"/>
      <c r="AE177" s="177"/>
      <c r="AF177" s="177"/>
      <c r="AG177" s="177"/>
      <c r="AH177" s="177"/>
      <c r="AI177" s="177"/>
      <c r="AJ177" s="177"/>
      <c r="AK177" s="177"/>
      <c r="AL177" s="177"/>
      <c r="AM177" s="177"/>
      <c r="AN177" s="177"/>
      <c r="AO177" s="177"/>
      <c r="AP177" s="177"/>
      <c r="AQ177" s="177"/>
      <c r="AR177" s="177"/>
      <c r="AS177" s="177"/>
      <c r="AT177" s="177"/>
      <c r="AU177" s="177"/>
      <c r="AV177" s="177"/>
      <c r="AW177" s="177"/>
      <c r="AX177" s="177"/>
      <c r="AY177" s="177"/>
      <c r="AZ177" s="177"/>
      <c r="BA177" s="177"/>
      <c r="BB177" s="177"/>
      <c r="BC177" s="177"/>
      <c r="BD177" s="177"/>
    </row>
    <row r="178" spans="28:56" ht="11.5" customHeight="1" x14ac:dyDescent="0.35">
      <c r="AB178" s="177"/>
      <c r="AC178" s="177"/>
      <c r="AD178" s="177"/>
      <c r="AE178" s="177"/>
      <c r="AF178" s="177"/>
      <c r="AG178" s="177"/>
      <c r="AH178" s="177"/>
      <c r="AI178" s="177"/>
      <c r="AJ178" s="177"/>
      <c r="AK178" s="177"/>
      <c r="AL178" s="177"/>
      <c r="AM178" s="177"/>
      <c r="AN178" s="177"/>
      <c r="AO178" s="177"/>
      <c r="AP178" s="177"/>
      <c r="AQ178" s="177"/>
      <c r="AR178" s="177"/>
      <c r="AS178" s="177"/>
      <c r="AT178" s="177"/>
      <c r="AU178" s="177"/>
      <c r="AV178" s="177"/>
      <c r="AW178" s="177"/>
      <c r="AX178" s="177"/>
      <c r="AY178" s="177"/>
      <c r="AZ178" s="177"/>
      <c r="BA178" s="177"/>
      <c r="BB178" s="177"/>
      <c r="BC178" s="177"/>
      <c r="BD178" s="177"/>
    </row>
    <row r="179" spans="28:56" ht="11.5" customHeight="1" x14ac:dyDescent="0.35">
      <c r="AB179" s="177"/>
      <c r="AC179" s="177"/>
      <c r="AD179" s="177"/>
      <c r="AE179" s="177"/>
      <c r="AF179" s="177"/>
      <c r="AG179" s="177"/>
      <c r="AH179" s="177"/>
      <c r="AI179" s="177"/>
      <c r="AJ179" s="177"/>
      <c r="AK179" s="177"/>
      <c r="AL179" s="177"/>
      <c r="AM179" s="177"/>
      <c r="AN179" s="177"/>
      <c r="AO179" s="177"/>
      <c r="AP179" s="177"/>
      <c r="AQ179" s="177"/>
      <c r="AR179" s="177"/>
      <c r="AS179" s="177"/>
      <c r="AT179" s="177"/>
      <c r="AU179" s="177"/>
      <c r="AV179" s="177"/>
      <c r="AW179" s="177"/>
      <c r="AX179" s="177"/>
      <c r="AY179" s="177"/>
      <c r="AZ179" s="177"/>
      <c r="BA179" s="177"/>
      <c r="BB179" s="177"/>
      <c r="BC179" s="177"/>
      <c r="BD179" s="177"/>
    </row>
    <row r="180" spans="28:56" ht="11.5" customHeight="1" x14ac:dyDescent="0.35">
      <c r="AB180" s="177"/>
      <c r="AC180" s="177"/>
      <c r="AD180" s="177"/>
      <c r="AE180" s="177"/>
      <c r="AF180" s="177"/>
      <c r="AG180" s="177"/>
      <c r="AH180" s="177"/>
      <c r="AI180" s="177"/>
      <c r="AJ180" s="177"/>
      <c r="AK180" s="177"/>
      <c r="AL180" s="177"/>
      <c r="AM180" s="177"/>
      <c r="AN180" s="177"/>
      <c r="AO180" s="177"/>
      <c r="AP180" s="177"/>
      <c r="AQ180" s="177"/>
      <c r="AR180" s="177"/>
      <c r="AS180" s="177"/>
      <c r="AT180" s="177"/>
      <c r="AU180" s="177"/>
      <c r="AV180" s="177"/>
      <c r="AW180" s="177"/>
      <c r="AX180" s="177"/>
      <c r="AY180" s="177"/>
      <c r="AZ180" s="177"/>
      <c r="BA180" s="177"/>
      <c r="BB180" s="177"/>
      <c r="BC180" s="177"/>
      <c r="BD180" s="177"/>
    </row>
    <row r="181" spans="28:56" ht="11.5" customHeight="1" x14ac:dyDescent="0.35">
      <c r="AB181" s="177"/>
      <c r="AC181" s="177"/>
      <c r="AD181" s="177"/>
      <c r="AE181" s="177"/>
      <c r="AF181" s="177"/>
      <c r="AG181" s="177"/>
      <c r="AH181" s="177"/>
      <c r="AI181" s="177"/>
      <c r="AJ181" s="177"/>
      <c r="AK181" s="177"/>
      <c r="AL181" s="177"/>
      <c r="AM181" s="177"/>
      <c r="AN181" s="177"/>
      <c r="AO181" s="177"/>
      <c r="AP181" s="177"/>
      <c r="AQ181" s="177"/>
      <c r="AR181" s="177"/>
      <c r="AS181" s="177"/>
      <c r="AT181" s="177"/>
      <c r="AU181" s="177"/>
      <c r="AV181" s="177"/>
      <c r="AW181" s="177"/>
      <c r="AX181" s="177"/>
      <c r="AY181" s="177"/>
      <c r="AZ181" s="177"/>
      <c r="BA181" s="177"/>
      <c r="BB181" s="177"/>
      <c r="BC181" s="177"/>
      <c r="BD181" s="177"/>
    </row>
    <row r="182" spans="28:56" ht="11.5" customHeight="1" x14ac:dyDescent="0.35">
      <c r="AB182" s="177"/>
      <c r="AC182" s="177"/>
      <c r="AD182" s="177"/>
      <c r="AE182" s="177"/>
      <c r="AF182" s="177"/>
      <c r="AG182" s="177"/>
      <c r="AH182" s="177"/>
      <c r="AI182" s="177"/>
      <c r="AJ182" s="177"/>
      <c r="AK182" s="177"/>
      <c r="AL182" s="177"/>
      <c r="AM182" s="177"/>
      <c r="AN182" s="177"/>
      <c r="AO182" s="177"/>
      <c r="AP182" s="177"/>
      <c r="AQ182" s="177"/>
      <c r="AR182" s="177"/>
      <c r="AS182" s="177"/>
      <c r="AT182" s="177"/>
      <c r="AU182" s="177"/>
      <c r="AV182" s="177"/>
      <c r="AW182" s="177"/>
      <c r="AX182" s="177"/>
      <c r="AY182" s="177"/>
      <c r="AZ182" s="177"/>
      <c r="BA182" s="177"/>
      <c r="BB182" s="177"/>
      <c r="BC182" s="177"/>
      <c r="BD182" s="177"/>
    </row>
    <row r="183" spans="28:56" ht="11.5" customHeight="1" x14ac:dyDescent="0.35">
      <c r="AB183" s="177"/>
      <c r="AC183" s="177"/>
      <c r="AD183" s="177"/>
      <c r="AE183" s="177"/>
      <c r="AF183" s="177"/>
      <c r="AG183" s="177"/>
      <c r="AH183" s="177"/>
      <c r="AI183" s="177"/>
      <c r="AJ183" s="177"/>
      <c r="AK183" s="177"/>
      <c r="AL183" s="177"/>
      <c r="AM183" s="177"/>
      <c r="AN183" s="177"/>
      <c r="AO183" s="177"/>
      <c r="AP183" s="177"/>
      <c r="AQ183" s="177"/>
      <c r="AR183" s="177"/>
      <c r="AS183" s="177"/>
      <c r="AT183" s="177"/>
      <c r="AU183" s="177"/>
      <c r="AV183" s="177"/>
      <c r="AW183" s="177"/>
      <c r="AX183" s="177"/>
      <c r="AY183" s="177"/>
      <c r="AZ183" s="177"/>
      <c r="BA183" s="177"/>
      <c r="BB183" s="177"/>
      <c r="BC183" s="177"/>
      <c r="BD183" s="177"/>
    </row>
    <row r="184" spans="28:56" ht="11.5" customHeight="1" x14ac:dyDescent="0.35">
      <c r="AB184" s="177"/>
      <c r="AC184" s="177"/>
      <c r="AD184" s="177"/>
      <c r="AE184" s="177"/>
      <c r="AF184" s="177"/>
      <c r="AG184" s="177"/>
      <c r="AH184" s="177"/>
      <c r="AI184" s="177"/>
      <c r="AJ184" s="177"/>
      <c r="AK184" s="177"/>
      <c r="AL184" s="177"/>
      <c r="AM184" s="177"/>
      <c r="AN184" s="177"/>
      <c r="AO184" s="177"/>
      <c r="AP184" s="177"/>
      <c r="AQ184" s="177"/>
      <c r="AR184" s="177"/>
      <c r="AS184" s="177"/>
      <c r="AT184" s="177"/>
      <c r="AU184" s="177"/>
      <c r="AV184" s="177"/>
      <c r="AW184" s="177"/>
      <c r="AX184" s="177"/>
      <c r="AY184" s="177"/>
      <c r="AZ184" s="177"/>
      <c r="BA184" s="177"/>
      <c r="BB184" s="177"/>
      <c r="BC184" s="177"/>
      <c r="BD184" s="177"/>
    </row>
    <row r="185" spans="28:56" ht="11.5" customHeight="1" x14ac:dyDescent="0.35">
      <c r="AB185" s="177"/>
      <c r="AC185" s="177"/>
      <c r="AD185" s="177"/>
      <c r="AE185" s="177"/>
      <c r="AF185" s="177"/>
      <c r="AG185" s="177"/>
      <c r="AH185" s="177"/>
      <c r="AI185" s="177"/>
      <c r="AJ185" s="177"/>
      <c r="AK185" s="177"/>
      <c r="AL185" s="177"/>
      <c r="AM185" s="177"/>
      <c r="AN185" s="177"/>
      <c r="AO185" s="177"/>
      <c r="AP185" s="177"/>
      <c r="AQ185" s="177"/>
      <c r="AR185" s="177"/>
      <c r="AS185" s="177"/>
      <c r="AT185" s="177"/>
      <c r="AU185" s="177"/>
      <c r="AV185" s="177"/>
      <c r="AW185" s="177"/>
      <c r="AX185" s="177"/>
      <c r="AY185" s="177"/>
      <c r="AZ185" s="177"/>
      <c r="BA185" s="177"/>
      <c r="BB185" s="177"/>
      <c r="BC185" s="177"/>
      <c r="BD185" s="177"/>
    </row>
    <row r="186" spans="28:56" ht="11.5" customHeight="1" x14ac:dyDescent="0.35">
      <c r="AB186" s="177"/>
      <c r="AC186" s="177"/>
      <c r="AD186" s="177"/>
      <c r="AE186" s="177"/>
      <c r="AF186" s="177"/>
      <c r="AG186" s="177"/>
      <c r="AH186" s="177"/>
      <c r="AI186" s="177"/>
      <c r="AJ186" s="177"/>
      <c r="AK186" s="177"/>
      <c r="AL186" s="177"/>
      <c r="AM186" s="177"/>
      <c r="AN186" s="177"/>
      <c r="AO186" s="177"/>
      <c r="AP186" s="177"/>
      <c r="AQ186" s="177"/>
      <c r="AR186" s="177"/>
      <c r="AS186" s="177"/>
      <c r="AT186" s="177"/>
      <c r="AU186" s="177"/>
      <c r="AV186" s="177"/>
      <c r="AW186" s="177"/>
      <c r="AX186" s="177"/>
      <c r="AY186" s="177"/>
      <c r="AZ186" s="177"/>
      <c r="BA186" s="177"/>
      <c r="BB186" s="177"/>
      <c r="BC186" s="177"/>
      <c r="BD186" s="177"/>
    </row>
    <row r="187" spans="28:56" ht="11.5" customHeight="1" x14ac:dyDescent="0.35">
      <c r="AB187" s="177"/>
      <c r="AC187" s="177"/>
      <c r="AD187" s="177"/>
      <c r="AE187" s="177"/>
      <c r="AF187" s="177"/>
      <c r="AG187" s="177"/>
      <c r="AH187" s="177"/>
      <c r="AI187" s="177"/>
      <c r="AJ187" s="177"/>
      <c r="AK187" s="177"/>
      <c r="AL187" s="177"/>
      <c r="AM187" s="177"/>
      <c r="AN187" s="177"/>
      <c r="AO187" s="177"/>
      <c r="AP187" s="177"/>
      <c r="AQ187" s="177"/>
      <c r="AR187" s="177"/>
      <c r="AS187" s="177"/>
      <c r="AT187" s="177"/>
      <c r="AU187" s="177"/>
      <c r="AV187" s="177"/>
      <c r="AW187" s="177"/>
      <c r="AX187" s="177"/>
      <c r="AY187" s="177"/>
      <c r="AZ187" s="177"/>
      <c r="BA187" s="177"/>
      <c r="BB187" s="177"/>
      <c r="BC187" s="177"/>
      <c r="BD187" s="177"/>
    </row>
    <row r="188" spans="28:56" ht="11.5" customHeight="1" x14ac:dyDescent="0.35">
      <c r="AB188" s="177"/>
      <c r="AC188" s="177"/>
      <c r="AD188" s="177"/>
      <c r="AE188" s="177"/>
      <c r="AF188" s="177"/>
      <c r="AG188" s="177"/>
      <c r="AH188" s="177"/>
      <c r="AI188" s="177"/>
      <c r="AJ188" s="177"/>
      <c r="AK188" s="177"/>
      <c r="AL188" s="177"/>
      <c r="AM188" s="177"/>
      <c r="AN188" s="177"/>
      <c r="AO188" s="177"/>
      <c r="AP188" s="177"/>
      <c r="AQ188" s="177"/>
      <c r="AR188" s="177"/>
      <c r="AS188" s="177"/>
      <c r="AT188" s="177"/>
      <c r="AU188" s="177"/>
      <c r="AV188" s="177"/>
      <c r="AW188" s="177"/>
      <c r="AX188" s="177"/>
      <c r="AY188" s="177"/>
      <c r="AZ188" s="177"/>
      <c r="BA188" s="177"/>
      <c r="BB188" s="177"/>
      <c r="BC188" s="177"/>
      <c r="BD188" s="177"/>
    </row>
    <row r="189" spans="28:56" ht="11.5" customHeight="1" x14ac:dyDescent="0.35">
      <c r="AB189" s="177"/>
      <c r="AC189" s="177"/>
      <c r="AD189" s="177"/>
      <c r="AE189" s="177"/>
      <c r="AF189" s="177"/>
      <c r="AG189" s="177"/>
      <c r="AH189" s="177"/>
      <c r="AI189" s="177"/>
      <c r="AJ189" s="177"/>
      <c r="AK189" s="177"/>
      <c r="AL189" s="177"/>
      <c r="AM189" s="177"/>
      <c r="AN189" s="177"/>
      <c r="AO189" s="177"/>
      <c r="AP189" s="177"/>
      <c r="AQ189" s="177"/>
      <c r="AR189" s="177"/>
      <c r="AS189" s="177"/>
      <c r="AT189" s="177"/>
      <c r="AU189" s="177"/>
      <c r="AV189" s="177"/>
      <c r="AW189" s="177"/>
      <c r="AX189" s="177"/>
      <c r="AY189" s="177"/>
      <c r="AZ189" s="177"/>
      <c r="BA189" s="177"/>
      <c r="BB189" s="177"/>
      <c r="BC189" s="177"/>
      <c r="BD189" s="177"/>
    </row>
    <row r="190" spans="28:56" ht="11.5" customHeight="1" x14ac:dyDescent="0.35">
      <c r="AB190" s="177"/>
      <c r="AC190" s="177"/>
      <c r="AD190" s="177"/>
      <c r="AE190" s="177"/>
      <c r="AF190" s="177"/>
      <c r="AG190" s="177"/>
      <c r="AH190" s="177"/>
      <c r="AI190" s="177"/>
      <c r="AJ190" s="177"/>
      <c r="AK190" s="177"/>
      <c r="AL190" s="177"/>
      <c r="AM190" s="177"/>
      <c r="AN190" s="177"/>
      <c r="AO190" s="177"/>
      <c r="AP190" s="177"/>
      <c r="AQ190" s="177"/>
      <c r="AR190" s="177"/>
      <c r="AS190" s="177"/>
      <c r="AT190" s="177"/>
      <c r="AU190" s="177"/>
      <c r="AV190" s="177"/>
      <c r="AW190" s="177"/>
      <c r="AX190" s="177"/>
      <c r="AY190" s="177"/>
      <c r="AZ190" s="177"/>
      <c r="BA190" s="177"/>
      <c r="BB190" s="177"/>
      <c r="BC190" s="177"/>
      <c r="BD190" s="177"/>
    </row>
    <row r="191" spans="28:56" ht="11.5" customHeight="1" x14ac:dyDescent="0.35">
      <c r="AB191" s="177"/>
      <c r="AC191" s="177"/>
      <c r="AD191" s="177"/>
      <c r="AE191" s="177"/>
      <c r="AF191" s="177"/>
      <c r="AG191" s="177"/>
      <c r="AH191" s="177"/>
      <c r="AI191" s="177"/>
      <c r="AJ191" s="177"/>
      <c r="AK191" s="177"/>
      <c r="AL191" s="177"/>
      <c r="AM191" s="177"/>
      <c r="AN191" s="177"/>
      <c r="AO191" s="177"/>
      <c r="AP191" s="177"/>
      <c r="AQ191" s="177"/>
      <c r="AR191" s="177"/>
      <c r="AS191" s="177"/>
      <c r="AT191" s="177"/>
      <c r="AU191" s="177"/>
      <c r="AV191" s="177"/>
      <c r="AW191" s="177"/>
      <c r="AX191" s="177"/>
      <c r="AY191" s="177"/>
      <c r="AZ191" s="177"/>
      <c r="BA191" s="177"/>
      <c r="BB191" s="177"/>
      <c r="BC191" s="177"/>
      <c r="BD191" s="177"/>
    </row>
    <row r="192" spans="28:56" ht="11.5" customHeight="1" x14ac:dyDescent="0.35">
      <c r="AB192" s="177"/>
      <c r="AC192" s="177"/>
      <c r="AD192" s="177"/>
      <c r="AE192" s="177"/>
      <c r="AF192" s="177"/>
      <c r="AG192" s="177"/>
      <c r="AH192" s="177"/>
      <c r="AI192" s="177"/>
      <c r="AJ192" s="177"/>
      <c r="AK192" s="177"/>
      <c r="AL192" s="177"/>
      <c r="AM192" s="177"/>
      <c r="AN192" s="177"/>
      <c r="AO192" s="177"/>
      <c r="AP192" s="177"/>
      <c r="AQ192" s="177"/>
      <c r="AR192" s="177"/>
      <c r="AS192" s="177"/>
      <c r="AT192" s="177"/>
      <c r="AU192" s="177"/>
      <c r="AV192" s="177"/>
      <c r="AW192" s="177"/>
      <c r="AX192" s="177"/>
      <c r="AY192" s="177"/>
      <c r="AZ192" s="177"/>
      <c r="BA192" s="177"/>
      <c r="BB192" s="177"/>
      <c r="BC192" s="177"/>
      <c r="BD192" s="177"/>
    </row>
    <row r="193" spans="28:56" ht="11.5" customHeight="1" x14ac:dyDescent="0.35">
      <c r="AB193" s="177"/>
      <c r="AC193" s="177"/>
      <c r="AD193" s="177"/>
      <c r="AE193" s="177"/>
      <c r="AF193" s="177"/>
      <c r="AG193" s="177"/>
      <c r="AH193" s="177"/>
      <c r="AI193" s="177"/>
      <c r="AJ193" s="177"/>
      <c r="AK193" s="177"/>
      <c r="AL193" s="177"/>
      <c r="AM193" s="177"/>
      <c r="AN193" s="177"/>
      <c r="AO193" s="177"/>
      <c r="AP193" s="177"/>
      <c r="AQ193" s="177"/>
      <c r="AR193" s="177"/>
      <c r="AS193" s="177"/>
      <c r="AT193" s="177"/>
      <c r="AU193" s="177"/>
      <c r="AV193" s="177"/>
      <c r="AW193" s="177"/>
      <c r="AX193" s="177"/>
      <c r="AY193" s="177"/>
      <c r="AZ193" s="177"/>
      <c r="BA193" s="177"/>
      <c r="BB193" s="177"/>
      <c r="BC193" s="177"/>
      <c r="BD193" s="177"/>
    </row>
    <row r="194" spans="28:56" ht="11.5" customHeight="1" x14ac:dyDescent="0.35">
      <c r="AB194" s="177"/>
      <c r="AC194" s="177"/>
      <c r="AD194" s="177"/>
      <c r="AE194" s="177"/>
      <c r="AF194" s="177"/>
      <c r="AG194" s="177"/>
      <c r="AH194" s="177"/>
      <c r="AI194" s="177"/>
      <c r="AJ194" s="177"/>
      <c r="AK194" s="177"/>
      <c r="AL194" s="177"/>
      <c r="AM194" s="177"/>
      <c r="AN194" s="177"/>
      <c r="AO194" s="177"/>
      <c r="AP194" s="177"/>
      <c r="AQ194" s="177"/>
      <c r="AR194" s="177"/>
      <c r="AS194" s="177"/>
      <c r="AT194" s="177"/>
      <c r="AU194" s="177"/>
      <c r="AV194" s="177"/>
      <c r="AW194" s="177"/>
      <c r="AX194" s="177"/>
      <c r="AY194" s="177"/>
      <c r="AZ194" s="177"/>
      <c r="BA194" s="177"/>
      <c r="BB194" s="177"/>
      <c r="BC194" s="177"/>
      <c r="BD194" s="177"/>
    </row>
    <row r="195" spans="28:56" ht="11.5" customHeight="1" x14ac:dyDescent="0.35">
      <c r="AB195" s="177"/>
      <c r="AC195" s="177"/>
      <c r="AD195" s="177"/>
      <c r="AE195" s="177"/>
      <c r="AF195" s="177"/>
      <c r="AG195" s="177"/>
      <c r="AH195" s="177"/>
      <c r="AI195" s="177"/>
      <c r="AJ195" s="177"/>
      <c r="AK195" s="177"/>
      <c r="AL195" s="177"/>
      <c r="AM195" s="177"/>
      <c r="AN195" s="177"/>
      <c r="AO195" s="177"/>
      <c r="AP195" s="177"/>
      <c r="AQ195" s="177"/>
      <c r="AR195" s="177"/>
      <c r="AS195" s="177"/>
      <c r="AT195" s="177"/>
      <c r="AU195" s="177"/>
      <c r="AV195" s="177"/>
      <c r="AW195" s="177"/>
      <c r="AX195" s="177"/>
      <c r="AY195" s="177"/>
      <c r="AZ195" s="177"/>
      <c r="BA195" s="177"/>
      <c r="BB195" s="177"/>
      <c r="BC195" s="177"/>
      <c r="BD195" s="177"/>
    </row>
    <row r="196" spans="28:56" ht="11.5" customHeight="1" x14ac:dyDescent="0.35">
      <c r="AB196" s="177"/>
      <c r="AC196" s="177"/>
      <c r="AD196" s="177"/>
      <c r="AE196" s="177"/>
      <c r="AF196" s="177"/>
      <c r="AG196" s="177"/>
      <c r="AH196" s="177"/>
      <c r="AI196" s="177"/>
      <c r="AJ196" s="177"/>
      <c r="AK196" s="177"/>
      <c r="AL196" s="177"/>
      <c r="AM196" s="177"/>
      <c r="AN196" s="177"/>
      <c r="AO196" s="177"/>
      <c r="AP196" s="177"/>
      <c r="AQ196" s="177"/>
      <c r="AR196" s="177"/>
      <c r="AS196" s="177"/>
      <c r="AT196" s="177"/>
      <c r="AU196" s="177"/>
      <c r="AV196" s="177"/>
      <c r="AW196" s="177"/>
      <c r="AX196" s="177"/>
      <c r="AY196" s="177"/>
      <c r="AZ196" s="177"/>
      <c r="BA196" s="177"/>
      <c r="BB196" s="177"/>
      <c r="BC196" s="177"/>
      <c r="BD196" s="177"/>
    </row>
    <row r="197" spans="28:56" ht="11.5" customHeight="1" x14ac:dyDescent="0.35">
      <c r="AB197" s="177"/>
      <c r="AC197" s="177"/>
      <c r="AD197" s="177"/>
      <c r="AE197" s="177"/>
      <c r="AF197" s="177"/>
      <c r="AG197" s="177"/>
      <c r="AH197" s="177"/>
      <c r="AI197" s="177"/>
      <c r="AJ197" s="177"/>
      <c r="AK197" s="177"/>
      <c r="AL197" s="177"/>
      <c r="AM197" s="177"/>
      <c r="AN197" s="177"/>
      <c r="AO197" s="177"/>
      <c r="AP197" s="177"/>
      <c r="AQ197" s="177"/>
      <c r="AR197" s="177"/>
      <c r="AS197" s="177"/>
      <c r="AT197" s="177"/>
      <c r="AU197" s="177"/>
      <c r="AV197" s="177"/>
      <c r="AW197" s="177"/>
      <c r="AX197" s="177"/>
      <c r="AY197" s="177"/>
      <c r="AZ197" s="177"/>
      <c r="BA197" s="177"/>
      <c r="BB197" s="177"/>
      <c r="BC197" s="177"/>
      <c r="BD197" s="177"/>
    </row>
    <row r="198" spans="28:56" ht="11.5" customHeight="1" x14ac:dyDescent="0.35"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7"/>
      <c r="AQ198" s="177"/>
      <c r="AR198" s="177"/>
      <c r="AS198" s="177"/>
      <c r="AT198" s="177"/>
      <c r="AU198" s="177"/>
      <c r="AV198" s="177"/>
      <c r="AW198" s="177"/>
      <c r="AX198" s="177"/>
      <c r="AY198" s="177"/>
      <c r="AZ198" s="177"/>
      <c r="BA198" s="177"/>
      <c r="BB198" s="177"/>
      <c r="BC198" s="177"/>
      <c r="BD198" s="177"/>
    </row>
    <row r="199" spans="28:56" ht="11.5" customHeight="1" x14ac:dyDescent="0.35">
      <c r="AB199" s="177"/>
      <c r="AC199" s="177"/>
      <c r="AD199" s="177"/>
      <c r="AE199" s="177"/>
      <c r="AF199" s="177"/>
      <c r="AG199" s="177"/>
      <c r="AH199" s="177"/>
      <c r="AI199" s="177"/>
      <c r="AJ199" s="177"/>
      <c r="AK199" s="177"/>
      <c r="AL199" s="177"/>
      <c r="AM199" s="177"/>
      <c r="AN199" s="177"/>
      <c r="AO199" s="177"/>
      <c r="AP199" s="177"/>
      <c r="AQ199" s="177"/>
      <c r="AR199" s="177"/>
      <c r="AS199" s="177"/>
      <c r="AT199" s="177"/>
      <c r="AU199" s="177"/>
      <c r="AV199" s="177"/>
      <c r="AW199" s="177"/>
      <c r="AX199" s="177"/>
      <c r="AY199" s="177"/>
      <c r="AZ199" s="177"/>
      <c r="BA199" s="177"/>
      <c r="BB199" s="177"/>
      <c r="BC199" s="177"/>
      <c r="BD199" s="177"/>
    </row>
    <row r="200" spans="28:56" ht="11.5" customHeight="1" x14ac:dyDescent="0.35">
      <c r="AB200" s="177"/>
      <c r="AC200" s="177"/>
      <c r="AD200" s="177"/>
      <c r="AE200" s="177"/>
      <c r="AF200" s="177"/>
      <c r="AG200" s="177"/>
      <c r="AH200" s="177"/>
      <c r="AI200" s="177"/>
      <c r="AJ200" s="177"/>
      <c r="AK200" s="177"/>
      <c r="AL200" s="177"/>
      <c r="AM200" s="177"/>
      <c r="AN200" s="177"/>
      <c r="AO200" s="177"/>
      <c r="AP200" s="177"/>
      <c r="AQ200" s="177"/>
      <c r="AR200" s="177"/>
      <c r="AS200" s="177"/>
      <c r="AT200" s="177"/>
      <c r="AU200" s="177"/>
      <c r="AV200" s="177"/>
      <c r="AW200" s="177"/>
      <c r="AX200" s="177"/>
      <c r="AY200" s="177"/>
      <c r="AZ200" s="177"/>
      <c r="BA200" s="177"/>
      <c r="BB200" s="177"/>
      <c r="BC200" s="177"/>
      <c r="BD200" s="177"/>
    </row>
    <row r="201" spans="28:56" ht="11.5" customHeight="1" x14ac:dyDescent="0.35">
      <c r="AB201" s="177"/>
      <c r="AC201" s="177"/>
      <c r="AD201" s="177"/>
      <c r="AE201" s="177"/>
      <c r="AF201" s="177"/>
      <c r="AG201" s="177"/>
      <c r="AH201" s="177"/>
      <c r="AI201" s="177"/>
      <c r="AJ201" s="177"/>
      <c r="AK201" s="177"/>
      <c r="AL201" s="177"/>
      <c r="AM201" s="177"/>
      <c r="AN201" s="177"/>
      <c r="AO201" s="177"/>
      <c r="AP201" s="177"/>
      <c r="AQ201" s="177"/>
      <c r="AR201" s="177"/>
      <c r="AS201" s="177"/>
      <c r="AT201" s="177"/>
      <c r="AU201" s="177"/>
      <c r="AV201" s="177"/>
      <c r="AW201" s="177"/>
      <c r="AX201" s="177"/>
      <c r="AY201" s="177"/>
      <c r="AZ201" s="177"/>
      <c r="BA201" s="177"/>
      <c r="BB201" s="177"/>
      <c r="BC201" s="177"/>
      <c r="BD201" s="177"/>
    </row>
    <row r="202" spans="28:56" ht="11.5" customHeight="1" x14ac:dyDescent="0.35">
      <c r="AB202" s="177"/>
      <c r="AC202" s="177"/>
      <c r="AD202" s="177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77"/>
      <c r="AT202" s="177"/>
      <c r="AU202" s="177"/>
      <c r="AV202" s="177"/>
      <c r="AW202" s="177"/>
      <c r="AX202" s="177"/>
      <c r="AY202" s="177"/>
      <c r="AZ202" s="177"/>
      <c r="BA202" s="177"/>
      <c r="BB202" s="177"/>
      <c r="BC202" s="177"/>
      <c r="BD202" s="177"/>
    </row>
    <row r="203" spans="28:56" ht="11.5" customHeight="1" x14ac:dyDescent="0.35">
      <c r="AB203" s="177"/>
      <c r="AC203" s="177"/>
      <c r="AD203" s="177"/>
      <c r="AE203" s="177"/>
      <c r="AF203" s="177"/>
      <c r="AG203" s="177"/>
      <c r="AH203" s="177"/>
      <c r="AI203" s="177"/>
      <c r="AJ203" s="177"/>
      <c r="AK203" s="177"/>
      <c r="AL203" s="177"/>
      <c r="AM203" s="177"/>
      <c r="AN203" s="177"/>
      <c r="AO203" s="177"/>
      <c r="AP203" s="177"/>
      <c r="AQ203" s="177"/>
      <c r="AR203" s="177"/>
      <c r="AS203" s="177"/>
      <c r="AT203" s="177"/>
      <c r="AU203" s="177"/>
      <c r="AV203" s="177"/>
      <c r="AW203" s="177"/>
      <c r="AX203" s="177"/>
      <c r="AY203" s="177"/>
      <c r="AZ203" s="177"/>
      <c r="BA203" s="177"/>
      <c r="BB203" s="177"/>
      <c r="BC203" s="177"/>
      <c r="BD203" s="177"/>
    </row>
    <row r="204" spans="28:56" ht="11.5" customHeight="1" x14ac:dyDescent="0.35">
      <c r="AB204" s="177"/>
      <c r="AC204" s="177"/>
      <c r="AD204" s="177"/>
      <c r="AE204" s="177"/>
      <c r="AF204" s="177"/>
      <c r="AG204" s="177"/>
      <c r="AH204" s="177"/>
      <c r="AI204" s="177"/>
      <c r="AJ204" s="177"/>
      <c r="AK204" s="177"/>
      <c r="AL204" s="177"/>
      <c r="AM204" s="177"/>
      <c r="AN204" s="177"/>
      <c r="AO204" s="177"/>
      <c r="AP204" s="177"/>
      <c r="AQ204" s="177"/>
      <c r="AR204" s="177"/>
      <c r="AS204" s="177"/>
      <c r="AT204" s="177"/>
      <c r="AU204" s="177"/>
      <c r="AV204" s="177"/>
      <c r="AW204" s="177"/>
      <c r="AX204" s="177"/>
      <c r="AY204" s="177"/>
      <c r="AZ204" s="177"/>
      <c r="BA204" s="177"/>
      <c r="BB204" s="177"/>
      <c r="BC204" s="177"/>
      <c r="BD204" s="177"/>
    </row>
    <row r="205" spans="28:56" ht="11.5" customHeight="1" x14ac:dyDescent="0.35">
      <c r="AB205" s="177"/>
      <c r="AC205" s="177"/>
      <c r="AD205" s="177"/>
      <c r="AE205" s="177"/>
      <c r="AF205" s="177"/>
      <c r="AG205" s="177"/>
      <c r="AH205" s="177"/>
      <c r="AI205" s="177"/>
      <c r="AJ205" s="177"/>
      <c r="AK205" s="177"/>
      <c r="AL205" s="177"/>
      <c r="AM205" s="177"/>
      <c r="AN205" s="177"/>
      <c r="AO205" s="177"/>
      <c r="AP205" s="177"/>
      <c r="AQ205" s="177"/>
      <c r="AR205" s="177"/>
      <c r="AS205" s="177"/>
      <c r="AT205" s="177"/>
      <c r="AU205" s="177"/>
      <c r="AV205" s="177"/>
      <c r="AW205" s="177"/>
      <c r="AX205" s="177"/>
      <c r="AY205" s="177"/>
      <c r="AZ205" s="177"/>
      <c r="BA205" s="177"/>
      <c r="BB205" s="177"/>
      <c r="BC205" s="177"/>
      <c r="BD205" s="177"/>
    </row>
    <row r="206" spans="28:56" ht="11.5" customHeight="1" x14ac:dyDescent="0.35">
      <c r="AB206" s="177"/>
      <c r="AC206" s="177"/>
      <c r="AD206" s="177"/>
      <c r="AE206" s="177"/>
      <c r="AF206" s="177"/>
      <c r="AG206" s="177"/>
      <c r="AH206" s="177"/>
      <c r="AI206" s="177"/>
      <c r="AJ206" s="177"/>
      <c r="AK206" s="177"/>
      <c r="AL206" s="177"/>
      <c r="AM206" s="177"/>
      <c r="AN206" s="177"/>
      <c r="AO206" s="177"/>
      <c r="AP206" s="177"/>
      <c r="AQ206" s="177"/>
      <c r="AR206" s="177"/>
      <c r="AS206" s="177"/>
      <c r="AT206" s="177"/>
      <c r="AU206" s="177"/>
      <c r="AV206" s="177"/>
      <c r="AW206" s="177"/>
      <c r="AX206" s="177"/>
      <c r="AY206" s="177"/>
      <c r="AZ206" s="177"/>
      <c r="BA206" s="177"/>
      <c r="BB206" s="177"/>
      <c r="BC206" s="177"/>
      <c r="BD206" s="177"/>
    </row>
    <row r="207" spans="28:56" ht="11.5" customHeight="1" x14ac:dyDescent="0.35">
      <c r="AB207" s="177"/>
      <c r="AC207" s="177"/>
      <c r="AD207" s="177"/>
      <c r="AE207" s="177"/>
      <c r="AF207" s="177"/>
      <c r="AG207" s="177"/>
      <c r="AH207" s="177"/>
      <c r="AI207" s="177"/>
      <c r="AJ207" s="177"/>
      <c r="AK207" s="177"/>
      <c r="AL207" s="177"/>
      <c r="AM207" s="177"/>
      <c r="AN207" s="177"/>
      <c r="AO207" s="177"/>
      <c r="AP207" s="177"/>
      <c r="AQ207" s="177"/>
      <c r="AR207" s="177"/>
      <c r="AS207" s="177"/>
      <c r="AT207" s="177"/>
      <c r="AU207" s="177"/>
      <c r="AV207" s="177"/>
      <c r="AW207" s="177"/>
      <c r="AX207" s="177"/>
      <c r="AY207" s="177"/>
      <c r="AZ207" s="177"/>
      <c r="BA207" s="177"/>
      <c r="BB207" s="177"/>
      <c r="BC207" s="177"/>
      <c r="BD207" s="177"/>
    </row>
    <row r="208" spans="28:56" ht="11.5" customHeight="1" x14ac:dyDescent="0.35">
      <c r="AB208" s="177"/>
      <c r="AC208" s="177"/>
      <c r="AD208" s="177"/>
      <c r="AE208" s="177"/>
      <c r="AF208" s="177"/>
      <c r="AG208" s="177"/>
      <c r="AH208" s="177"/>
      <c r="AI208" s="177"/>
      <c r="AJ208" s="177"/>
      <c r="AK208" s="177"/>
      <c r="AL208" s="177"/>
      <c r="AM208" s="177"/>
      <c r="AN208" s="177"/>
      <c r="AO208" s="177"/>
      <c r="AP208" s="177"/>
      <c r="AQ208" s="177"/>
      <c r="AR208" s="177"/>
      <c r="AS208" s="177"/>
      <c r="AT208" s="177"/>
      <c r="AU208" s="177"/>
      <c r="AV208" s="177"/>
      <c r="AW208" s="177"/>
      <c r="AX208" s="177"/>
      <c r="AY208" s="177"/>
      <c r="AZ208" s="177"/>
      <c r="BA208" s="177"/>
      <c r="BB208" s="177"/>
      <c r="BC208" s="177"/>
      <c r="BD208" s="177"/>
    </row>
    <row r="209" spans="28:56" ht="11.5" customHeight="1" x14ac:dyDescent="0.35">
      <c r="AB209" s="177"/>
      <c r="AC209" s="177"/>
      <c r="AD209" s="177"/>
      <c r="AE209" s="177"/>
      <c r="AF209" s="177"/>
      <c r="AG209" s="177"/>
      <c r="AH209" s="177"/>
      <c r="AI209" s="177"/>
      <c r="AJ209" s="177"/>
      <c r="AK209" s="177"/>
      <c r="AL209" s="177"/>
      <c r="AM209" s="177"/>
      <c r="AN209" s="177"/>
      <c r="AO209" s="177"/>
      <c r="AP209" s="177"/>
      <c r="AQ209" s="177"/>
      <c r="AR209" s="177"/>
      <c r="AS209" s="177"/>
      <c r="AT209" s="177"/>
      <c r="AU209" s="177"/>
      <c r="AV209" s="177"/>
      <c r="AW209" s="177"/>
      <c r="AX209" s="177"/>
      <c r="AY209" s="177"/>
      <c r="AZ209" s="177"/>
      <c r="BA209" s="177"/>
      <c r="BB209" s="177"/>
      <c r="BC209" s="177"/>
      <c r="BD209" s="177"/>
    </row>
    <row r="210" spans="28:56" ht="11.5" customHeight="1" x14ac:dyDescent="0.35">
      <c r="AB210" s="177"/>
      <c r="AC210" s="177"/>
      <c r="AD210" s="177"/>
      <c r="AE210" s="177"/>
      <c r="AF210" s="177"/>
      <c r="AG210" s="177"/>
      <c r="AH210" s="177"/>
      <c r="AI210" s="177"/>
      <c r="AJ210" s="177"/>
      <c r="AK210" s="177"/>
      <c r="AL210" s="177"/>
      <c r="AM210" s="177"/>
      <c r="AN210" s="177"/>
      <c r="AO210" s="177"/>
      <c r="AP210" s="177"/>
      <c r="AQ210" s="177"/>
      <c r="AR210" s="177"/>
      <c r="AS210" s="177"/>
      <c r="AT210" s="177"/>
      <c r="AU210" s="177"/>
      <c r="AV210" s="177"/>
      <c r="AW210" s="177"/>
      <c r="AX210" s="177"/>
      <c r="AY210" s="177"/>
      <c r="AZ210" s="177"/>
      <c r="BA210" s="177"/>
      <c r="BB210" s="177"/>
      <c r="BC210" s="177"/>
      <c r="BD210" s="177"/>
    </row>
    <row r="211" spans="28:56" ht="11.5" customHeight="1" x14ac:dyDescent="0.35">
      <c r="AB211" s="177"/>
      <c r="AC211" s="177"/>
      <c r="AD211" s="177"/>
      <c r="AE211" s="177"/>
      <c r="AF211" s="177"/>
      <c r="AG211" s="177"/>
      <c r="AH211" s="177"/>
      <c r="AI211" s="177"/>
      <c r="AJ211" s="177"/>
      <c r="AK211" s="177"/>
      <c r="AL211" s="177"/>
      <c r="AM211" s="177"/>
      <c r="AN211" s="177"/>
      <c r="AO211" s="177"/>
      <c r="AP211" s="177"/>
      <c r="AQ211" s="177"/>
      <c r="AR211" s="177"/>
      <c r="AS211" s="177"/>
      <c r="AT211" s="177"/>
      <c r="AU211" s="177"/>
      <c r="AV211" s="177"/>
      <c r="AW211" s="177"/>
      <c r="AX211" s="177"/>
      <c r="AY211" s="177"/>
      <c r="AZ211" s="177"/>
      <c r="BA211" s="177"/>
      <c r="BB211" s="177"/>
      <c r="BC211" s="177"/>
      <c r="BD211" s="177"/>
    </row>
    <row r="212" spans="28:56" ht="11.5" customHeight="1" x14ac:dyDescent="0.35">
      <c r="AB212" s="177"/>
      <c r="AC212" s="177"/>
      <c r="AD212" s="177"/>
      <c r="AE212" s="177"/>
      <c r="AF212" s="177"/>
      <c r="AG212" s="177"/>
      <c r="AH212" s="177"/>
      <c r="AI212" s="177"/>
      <c r="AJ212" s="177"/>
      <c r="AK212" s="177"/>
      <c r="AL212" s="177"/>
      <c r="AM212" s="177"/>
      <c r="AN212" s="177"/>
      <c r="AO212" s="177"/>
      <c r="AP212" s="177"/>
      <c r="AQ212" s="177"/>
      <c r="AR212" s="177"/>
      <c r="AS212" s="177"/>
      <c r="AT212" s="177"/>
      <c r="AU212" s="177"/>
      <c r="AV212" s="177"/>
      <c r="AW212" s="177"/>
      <c r="AX212" s="177"/>
      <c r="AY212" s="177"/>
      <c r="AZ212" s="177"/>
      <c r="BA212" s="177"/>
      <c r="BB212" s="177"/>
      <c r="BC212" s="177"/>
      <c r="BD212" s="177"/>
    </row>
    <row r="213" spans="28:56" ht="11.5" customHeight="1" x14ac:dyDescent="0.35">
      <c r="AB213" s="177"/>
      <c r="AC213" s="177"/>
      <c r="AD213" s="177"/>
      <c r="AE213" s="177"/>
      <c r="AF213" s="177"/>
      <c r="AG213" s="177"/>
      <c r="AH213" s="177"/>
      <c r="AI213" s="177"/>
      <c r="AJ213" s="177"/>
      <c r="AK213" s="177"/>
      <c r="AL213" s="177"/>
      <c r="AM213" s="177"/>
      <c r="AN213" s="177"/>
      <c r="AO213" s="177"/>
      <c r="AP213" s="177"/>
      <c r="AQ213" s="177"/>
      <c r="AR213" s="177"/>
      <c r="AS213" s="177"/>
      <c r="AT213" s="177"/>
      <c r="AU213" s="177"/>
      <c r="AV213" s="177"/>
      <c r="AW213" s="177"/>
      <c r="AX213" s="177"/>
      <c r="AY213" s="177"/>
      <c r="AZ213" s="177"/>
      <c r="BA213" s="177"/>
      <c r="BB213" s="177"/>
      <c r="BC213" s="177"/>
      <c r="BD213" s="177"/>
    </row>
    <row r="214" spans="28:56" ht="11.5" customHeight="1" x14ac:dyDescent="0.35">
      <c r="AB214" s="177"/>
      <c r="AC214" s="177"/>
      <c r="AD214" s="177"/>
      <c r="AE214" s="177"/>
      <c r="AF214" s="177"/>
      <c r="AG214" s="177"/>
      <c r="AH214" s="177"/>
      <c r="AI214" s="177"/>
      <c r="AJ214" s="177"/>
      <c r="AK214" s="177"/>
      <c r="AL214" s="177"/>
      <c r="AM214" s="177"/>
      <c r="AN214" s="177"/>
      <c r="AO214" s="177"/>
      <c r="AP214" s="177"/>
      <c r="AQ214" s="177"/>
      <c r="AR214" s="177"/>
      <c r="AS214" s="177"/>
      <c r="AT214" s="177"/>
      <c r="AU214" s="177"/>
      <c r="AV214" s="177"/>
      <c r="AW214" s="177"/>
      <c r="AX214" s="177"/>
      <c r="AY214" s="177"/>
      <c r="AZ214" s="177"/>
      <c r="BA214" s="177"/>
      <c r="BB214" s="177"/>
      <c r="BC214" s="177"/>
      <c r="BD214" s="177"/>
    </row>
    <row r="215" spans="28:56" ht="11.5" customHeight="1" x14ac:dyDescent="0.35">
      <c r="AB215" s="177"/>
      <c r="AC215" s="177"/>
      <c r="AD215" s="177"/>
      <c r="AE215" s="177"/>
      <c r="AF215" s="177"/>
      <c r="AG215" s="177"/>
      <c r="AH215" s="177"/>
      <c r="AI215" s="177"/>
      <c r="AJ215" s="177"/>
      <c r="AK215" s="177"/>
      <c r="AL215" s="177"/>
      <c r="AM215" s="177"/>
      <c r="AN215" s="177"/>
      <c r="AO215" s="177"/>
      <c r="AP215" s="177"/>
      <c r="AQ215" s="177"/>
      <c r="AR215" s="177"/>
      <c r="AS215" s="177"/>
      <c r="AT215" s="177"/>
      <c r="AU215" s="177"/>
      <c r="AV215" s="177"/>
      <c r="AW215" s="177"/>
      <c r="AX215" s="177"/>
      <c r="AY215" s="177"/>
      <c r="AZ215" s="177"/>
      <c r="BA215" s="177"/>
      <c r="BB215" s="177"/>
      <c r="BC215" s="177"/>
      <c r="BD215" s="177"/>
    </row>
    <row r="216" spans="28:56" ht="11.5" customHeight="1" x14ac:dyDescent="0.35">
      <c r="AB216" s="177"/>
      <c r="AC216" s="177"/>
      <c r="AD216" s="177"/>
      <c r="AE216" s="177"/>
      <c r="AF216" s="177"/>
      <c r="AG216" s="177"/>
      <c r="AH216" s="177"/>
      <c r="AI216" s="177"/>
      <c r="AJ216" s="177"/>
      <c r="AK216" s="177"/>
      <c r="AL216" s="177"/>
      <c r="AM216" s="177"/>
      <c r="AN216" s="177"/>
      <c r="AO216" s="177"/>
      <c r="AP216" s="177"/>
      <c r="AQ216" s="177"/>
      <c r="AR216" s="177"/>
      <c r="AS216" s="177"/>
      <c r="AT216" s="177"/>
      <c r="AU216" s="177"/>
      <c r="AV216" s="177"/>
      <c r="AW216" s="177"/>
      <c r="AX216" s="177"/>
      <c r="AY216" s="177"/>
      <c r="AZ216" s="177"/>
      <c r="BA216" s="177"/>
      <c r="BB216" s="177"/>
      <c r="BC216" s="177"/>
      <c r="BD216" s="177"/>
    </row>
    <row r="217" spans="28:56" ht="11.5" customHeight="1" x14ac:dyDescent="0.35">
      <c r="AB217" s="177"/>
      <c r="AC217" s="177"/>
      <c r="AD217" s="177"/>
      <c r="AE217" s="177"/>
      <c r="AF217" s="177"/>
      <c r="AG217" s="177"/>
      <c r="AH217" s="177"/>
      <c r="AI217" s="177"/>
      <c r="AJ217" s="177"/>
      <c r="AK217" s="177"/>
      <c r="AL217" s="177"/>
      <c r="AM217" s="177"/>
      <c r="AN217" s="177"/>
      <c r="AO217" s="177"/>
      <c r="AP217" s="177"/>
      <c r="AQ217" s="177"/>
      <c r="AR217" s="177"/>
      <c r="AS217" s="177"/>
      <c r="AT217" s="177"/>
      <c r="AU217" s="177"/>
      <c r="AV217" s="177"/>
      <c r="AW217" s="177"/>
      <c r="AX217" s="177"/>
      <c r="AY217" s="177"/>
      <c r="AZ217" s="177"/>
      <c r="BA217" s="177"/>
      <c r="BB217" s="177"/>
      <c r="BC217" s="177"/>
      <c r="BD217" s="177"/>
    </row>
    <row r="218" spans="28:56" ht="11.5" customHeight="1" x14ac:dyDescent="0.35">
      <c r="AB218" s="177"/>
      <c r="AC218" s="177"/>
      <c r="AD218" s="177"/>
      <c r="AE218" s="177"/>
      <c r="AF218" s="177"/>
      <c r="AG218" s="177"/>
      <c r="AH218" s="177"/>
      <c r="AI218" s="177"/>
      <c r="AJ218" s="177"/>
      <c r="AK218" s="177"/>
      <c r="AL218" s="177"/>
      <c r="AM218" s="177"/>
      <c r="AN218" s="177"/>
      <c r="AO218" s="177"/>
      <c r="AP218" s="177"/>
      <c r="AQ218" s="177"/>
      <c r="AR218" s="177"/>
      <c r="AS218" s="177"/>
      <c r="AT218" s="177"/>
      <c r="AU218" s="177"/>
      <c r="AV218" s="177"/>
      <c r="AW218" s="177"/>
      <c r="AX218" s="177"/>
      <c r="AY218" s="177"/>
      <c r="AZ218" s="177"/>
      <c r="BA218" s="177"/>
      <c r="BB218" s="177"/>
      <c r="BC218" s="177"/>
      <c r="BD218" s="177"/>
    </row>
    <row r="219" spans="28:56" ht="11.5" customHeight="1" x14ac:dyDescent="0.35">
      <c r="AB219" s="177"/>
      <c r="AC219" s="177"/>
      <c r="AD219" s="177"/>
      <c r="AE219" s="177"/>
      <c r="AF219" s="177"/>
      <c r="AG219" s="177"/>
      <c r="AH219" s="177"/>
      <c r="AI219" s="177"/>
      <c r="AJ219" s="177"/>
      <c r="AK219" s="177"/>
      <c r="AL219" s="177"/>
      <c r="AM219" s="177"/>
      <c r="AN219" s="177"/>
      <c r="AO219" s="177"/>
      <c r="AP219" s="177"/>
      <c r="AQ219" s="177"/>
      <c r="AR219" s="177"/>
      <c r="AS219" s="177"/>
      <c r="AT219" s="177"/>
      <c r="AU219" s="177"/>
      <c r="AV219" s="177"/>
      <c r="AW219" s="177"/>
      <c r="AX219" s="177"/>
      <c r="AY219" s="177"/>
      <c r="AZ219" s="177"/>
      <c r="BA219" s="177"/>
      <c r="BB219" s="177"/>
      <c r="BC219" s="177"/>
      <c r="BD219" s="177"/>
    </row>
    <row r="220" spans="28:56" ht="11.5" customHeight="1" x14ac:dyDescent="0.35">
      <c r="AB220" s="177"/>
      <c r="AC220" s="177"/>
      <c r="AD220" s="177"/>
      <c r="AE220" s="177"/>
      <c r="AF220" s="177"/>
      <c r="AG220" s="177"/>
      <c r="AH220" s="177"/>
      <c r="AI220" s="177"/>
      <c r="AJ220" s="177"/>
      <c r="AK220" s="177"/>
      <c r="AL220" s="177"/>
      <c r="AM220" s="177"/>
      <c r="AN220" s="177"/>
      <c r="AO220" s="177"/>
      <c r="AP220" s="177"/>
      <c r="AQ220" s="177"/>
      <c r="AR220" s="177"/>
      <c r="AS220" s="177"/>
      <c r="AT220" s="177"/>
      <c r="AU220" s="177"/>
      <c r="AV220" s="177"/>
      <c r="AW220" s="177"/>
      <c r="AX220" s="177"/>
      <c r="AY220" s="177"/>
      <c r="AZ220" s="177"/>
      <c r="BA220" s="177"/>
      <c r="BB220" s="177"/>
      <c r="BC220" s="177"/>
      <c r="BD220" s="177"/>
    </row>
    <row r="221" spans="28:56" ht="11.5" customHeight="1" x14ac:dyDescent="0.35">
      <c r="AB221" s="177"/>
      <c r="AC221" s="177"/>
      <c r="AD221" s="177"/>
      <c r="AE221" s="177"/>
      <c r="AF221" s="177"/>
      <c r="AG221" s="177"/>
      <c r="AH221" s="177"/>
      <c r="AI221" s="177"/>
      <c r="AJ221" s="177"/>
      <c r="AK221" s="177"/>
      <c r="AL221" s="177"/>
      <c r="AM221" s="177"/>
      <c r="AN221" s="177"/>
      <c r="AO221" s="177"/>
      <c r="AP221" s="177"/>
      <c r="AQ221" s="177"/>
      <c r="AR221" s="177"/>
      <c r="AS221" s="177"/>
      <c r="AT221" s="177"/>
      <c r="AU221" s="177"/>
      <c r="AV221" s="177"/>
      <c r="AW221" s="177"/>
      <c r="AX221" s="177"/>
      <c r="AY221" s="177"/>
      <c r="AZ221" s="177"/>
      <c r="BA221" s="177"/>
      <c r="BB221" s="177"/>
      <c r="BC221" s="177"/>
      <c r="BD221" s="177"/>
    </row>
    <row r="222" spans="28:56" ht="11.5" customHeight="1" x14ac:dyDescent="0.35">
      <c r="AB222" s="177"/>
      <c r="AC222" s="177"/>
      <c r="AD222" s="177"/>
      <c r="AE222" s="177"/>
      <c r="AF222" s="177"/>
      <c r="AG222" s="177"/>
      <c r="AH222" s="177"/>
      <c r="AI222" s="177"/>
      <c r="AJ222" s="177"/>
      <c r="AK222" s="177"/>
      <c r="AL222" s="177"/>
      <c r="AM222" s="177"/>
      <c r="AN222" s="177"/>
      <c r="AO222" s="177"/>
      <c r="AP222" s="177"/>
      <c r="AQ222" s="177"/>
      <c r="AR222" s="177"/>
      <c r="AS222" s="177"/>
      <c r="AT222" s="177"/>
      <c r="AU222" s="177"/>
      <c r="AV222" s="177"/>
      <c r="AW222" s="177"/>
      <c r="AX222" s="177"/>
      <c r="AY222" s="177"/>
      <c r="AZ222" s="177"/>
      <c r="BA222" s="177"/>
      <c r="BB222" s="177"/>
      <c r="BC222" s="177"/>
      <c r="BD222" s="177"/>
    </row>
    <row r="223" spans="28:56" ht="11.5" customHeight="1" x14ac:dyDescent="0.35">
      <c r="AB223" s="177"/>
      <c r="AC223" s="177"/>
      <c r="AD223" s="177"/>
      <c r="AE223" s="177"/>
      <c r="AF223" s="177"/>
      <c r="AG223" s="177"/>
      <c r="AH223" s="177"/>
      <c r="AI223" s="177"/>
      <c r="AJ223" s="177"/>
      <c r="AK223" s="177"/>
      <c r="AL223" s="177"/>
      <c r="AM223" s="177"/>
      <c r="AN223" s="177"/>
      <c r="AO223" s="177"/>
      <c r="AP223" s="177"/>
      <c r="AQ223" s="177"/>
      <c r="AR223" s="177"/>
      <c r="AS223" s="177"/>
      <c r="AT223" s="177"/>
      <c r="AU223" s="177"/>
      <c r="AV223" s="177"/>
      <c r="AW223" s="177"/>
      <c r="AX223" s="177"/>
      <c r="AY223" s="177"/>
      <c r="AZ223" s="177"/>
      <c r="BA223" s="177"/>
      <c r="BB223" s="177"/>
      <c r="BC223" s="177"/>
      <c r="BD223" s="177"/>
    </row>
    <row r="224" spans="28:56" ht="11.5" customHeight="1" x14ac:dyDescent="0.35">
      <c r="AB224" s="177"/>
      <c r="AC224" s="177"/>
      <c r="AD224" s="177"/>
      <c r="AE224" s="177"/>
      <c r="AF224" s="177"/>
      <c r="AG224" s="177"/>
      <c r="AH224" s="177"/>
      <c r="AI224" s="177"/>
      <c r="AJ224" s="177"/>
      <c r="AK224" s="177"/>
      <c r="AL224" s="177"/>
      <c r="AM224" s="177"/>
      <c r="AN224" s="177"/>
      <c r="AO224" s="177"/>
      <c r="AP224" s="177"/>
      <c r="AQ224" s="177"/>
      <c r="AR224" s="177"/>
      <c r="AS224" s="177"/>
      <c r="AT224" s="177"/>
      <c r="AU224" s="177"/>
      <c r="AV224" s="177"/>
      <c r="AW224" s="177"/>
      <c r="AX224" s="177"/>
      <c r="AY224" s="177"/>
      <c r="AZ224" s="177"/>
      <c r="BA224" s="177"/>
      <c r="BB224" s="177"/>
      <c r="BC224" s="177"/>
      <c r="BD224" s="177"/>
    </row>
    <row r="225" spans="28:56" ht="11.5" customHeight="1" x14ac:dyDescent="0.35">
      <c r="AB225" s="177"/>
      <c r="AC225" s="177"/>
      <c r="AD225" s="177"/>
      <c r="AE225" s="177"/>
      <c r="AF225" s="177"/>
      <c r="AG225" s="177"/>
      <c r="AH225" s="177"/>
      <c r="AI225" s="177"/>
      <c r="AJ225" s="177"/>
      <c r="AK225" s="177"/>
      <c r="AL225" s="177"/>
      <c r="AM225" s="177"/>
      <c r="AN225" s="177"/>
      <c r="AO225" s="177"/>
      <c r="AP225" s="177"/>
      <c r="AQ225" s="177"/>
      <c r="AR225" s="177"/>
      <c r="AS225" s="177"/>
      <c r="AT225" s="177"/>
      <c r="AU225" s="177"/>
      <c r="AV225" s="177"/>
      <c r="AW225" s="177"/>
      <c r="AX225" s="177"/>
      <c r="AY225" s="177"/>
      <c r="AZ225" s="177"/>
      <c r="BA225" s="177"/>
      <c r="BB225" s="177"/>
      <c r="BC225" s="177"/>
      <c r="BD225" s="177"/>
    </row>
    <row r="226" spans="28:56" ht="11.5" customHeight="1" x14ac:dyDescent="0.35">
      <c r="AB226" s="177"/>
      <c r="AC226" s="177"/>
      <c r="AD226" s="177"/>
      <c r="AE226" s="177"/>
      <c r="AF226" s="177"/>
      <c r="AG226" s="177"/>
      <c r="AH226" s="177"/>
      <c r="AI226" s="177"/>
      <c r="AJ226" s="177"/>
      <c r="AK226" s="177"/>
      <c r="AL226" s="177"/>
      <c r="AM226" s="177"/>
      <c r="AN226" s="177"/>
      <c r="AO226" s="177"/>
      <c r="AP226" s="177"/>
      <c r="AQ226" s="177"/>
      <c r="AR226" s="177"/>
      <c r="AS226" s="177"/>
      <c r="AT226" s="177"/>
      <c r="AU226" s="177"/>
      <c r="AV226" s="177"/>
      <c r="AW226" s="177"/>
      <c r="AX226" s="177"/>
      <c r="AY226" s="177"/>
      <c r="AZ226" s="177"/>
      <c r="BA226" s="177"/>
      <c r="BB226" s="177"/>
      <c r="BC226" s="177"/>
      <c r="BD226" s="177"/>
    </row>
    <row r="227" spans="28:56" ht="11.5" customHeight="1" x14ac:dyDescent="0.35">
      <c r="AB227" s="177"/>
      <c r="AC227" s="177"/>
      <c r="AD227" s="177"/>
      <c r="AE227" s="177"/>
      <c r="AF227" s="177"/>
      <c r="AG227" s="177"/>
      <c r="AH227" s="177"/>
      <c r="AI227" s="177"/>
      <c r="AJ227" s="177"/>
      <c r="AK227" s="177"/>
      <c r="AL227" s="177"/>
      <c r="AM227" s="177"/>
      <c r="AN227" s="177"/>
      <c r="AO227" s="177"/>
      <c r="AP227" s="177"/>
      <c r="AQ227" s="177"/>
      <c r="AR227" s="177"/>
      <c r="AS227" s="177"/>
      <c r="AT227" s="177"/>
      <c r="AU227" s="177"/>
      <c r="AV227" s="177"/>
      <c r="AW227" s="177"/>
      <c r="AX227" s="177"/>
      <c r="AY227" s="177"/>
      <c r="AZ227" s="177"/>
      <c r="BA227" s="177"/>
      <c r="BB227" s="177"/>
      <c r="BC227" s="177"/>
      <c r="BD227" s="177"/>
    </row>
    <row r="228" spans="28:56" ht="11.5" customHeight="1" x14ac:dyDescent="0.35">
      <c r="AB228" s="177"/>
      <c r="AC228" s="177"/>
      <c r="AD228" s="177"/>
      <c r="AE228" s="177"/>
      <c r="AF228" s="177"/>
      <c r="AG228" s="177"/>
      <c r="AH228" s="177"/>
      <c r="AI228" s="177"/>
      <c r="AJ228" s="177"/>
      <c r="AK228" s="177"/>
      <c r="AL228" s="177"/>
      <c r="AM228" s="177"/>
      <c r="AN228" s="177"/>
      <c r="AO228" s="177"/>
      <c r="AP228" s="177"/>
      <c r="AQ228" s="177"/>
      <c r="AR228" s="177"/>
      <c r="AS228" s="177"/>
      <c r="AT228" s="177"/>
      <c r="AU228" s="177"/>
      <c r="AV228" s="177"/>
      <c r="AW228" s="177"/>
      <c r="AX228" s="177"/>
      <c r="AY228" s="177"/>
      <c r="AZ228" s="177"/>
      <c r="BA228" s="177"/>
      <c r="BB228" s="177"/>
      <c r="BC228" s="177"/>
      <c r="BD228" s="177"/>
    </row>
    <row r="229" spans="28:56" ht="11.5" customHeight="1" x14ac:dyDescent="0.35">
      <c r="AB229" s="177"/>
      <c r="AC229" s="177"/>
      <c r="AD229" s="177"/>
      <c r="AE229" s="177"/>
      <c r="AF229" s="177"/>
      <c r="AG229" s="177"/>
      <c r="AH229" s="177"/>
      <c r="AI229" s="177"/>
      <c r="AJ229" s="177"/>
      <c r="AK229" s="177"/>
      <c r="AL229" s="177"/>
      <c r="AM229" s="177"/>
      <c r="AN229" s="177"/>
      <c r="AO229" s="177"/>
      <c r="AP229" s="177"/>
      <c r="AQ229" s="177"/>
      <c r="AR229" s="177"/>
      <c r="AS229" s="177"/>
      <c r="AT229" s="177"/>
      <c r="AU229" s="177"/>
      <c r="AV229" s="177"/>
      <c r="AW229" s="177"/>
      <c r="AX229" s="177"/>
      <c r="AY229" s="177"/>
      <c r="AZ229" s="177"/>
      <c r="BA229" s="177"/>
      <c r="BB229" s="177"/>
      <c r="BC229" s="177"/>
      <c r="BD229" s="177"/>
    </row>
    <row r="230" spans="28:56" ht="11.5" customHeight="1" x14ac:dyDescent="0.35">
      <c r="AB230" s="177"/>
      <c r="AC230" s="177"/>
      <c r="AD230" s="177"/>
      <c r="AE230" s="177"/>
      <c r="AF230" s="177"/>
      <c r="AG230" s="177"/>
      <c r="AH230" s="177"/>
      <c r="AI230" s="177"/>
      <c r="AJ230" s="177"/>
      <c r="AK230" s="177"/>
      <c r="AL230" s="177"/>
      <c r="AM230" s="177"/>
      <c r="AN230" s="177"/>
      <c r="AO230" s="177"/>
      <c r="AP230" s="177"/>
      <c r="AQ230" s="177"/>
      <c r="AR230" s="177"/>
      <c r="AS230" s="177"/>
      <c r="AT230" s="177"/>
      <c r="AU230" s="177"/>
      <c r="AV230" s="177"/>
      <c r="AW230" s="177"/>
      <c r="AX230" s="177"/>
      <c r="AY230" s="177"/>
      <c r="AZ230" s="177"/>
      <c r="BA230" s="177"/>
      <c r="BB230" s="177"/>
      <c r="BC230" s="177"/>
      <c r="BD230" s="177"/>
    </row>
    <row r="231" spans="28:56" ht="11.5" customHeight="1" x14ac:dyDescent="0.35">
      <c r="AB231" s="177"/>
      <c r="AC231" s="177"/>
      <c r="AD231" s="177"/>
      <c r="AE231" s="177"/>
      <c r="AF231" s="177"/>
      <c r="AG231" s="177"/>
      <c r="AH231" s="177"/>
      <c r="AI231" s="177"/>
      <c r="AJ231" s="177"/>
      <c r="AK231" s="177"/>
      <c r="AL231" s="177"/>
      <c r="AM231" s="177"/>
      <c r="AN231" s="177"/>
      <c r="AO231" s="177"/>
      <c r="AP231" s="177"/>
      <c r="AQ231" s="177"/>
      <c r="AR231" s="177"/>
      <c r="AS231" s="177"/>
      <c r="AT231" s="177"/>
      <c r="AU231" s="177"/>
      <c r="AV231" s="177"/>
      <c r="AW231" s="177"/>
      <c r="AX231" s="177"/>
      <c r="AY231" s="177"/>
      <c r="AZ231" s="177"/>
      <c r="BA231" s="177"/>
      <c r="BB231" s="177"/>
      <c r="BC231" s="177"/>
      <c r="BD231" s="177"/>
    </row>
    <row r="232" spans="28:56" ht="11.5" customHeight="1" x14ac:dyDescent="0.35">
      <c r="AB232" s="177"/>
      <c r="AC232" s="177"/>
      <c r="AD232" s="177"/>
      <c r="AE232" s="177"/>
      <c r="AF232" s="177"/>
      <c r="AG232" s="177"/>
      <c r="AH232" s="177"/>
      <c r="AI232" s="177"/>
      <c r="AJ232" s="177"/>
      <c r="AK232" s="177"/>
      <c r="AL232" s="177"/>
      <c r="AM232" s="177"/>
      <c r="AN232" s="177"/>
      <c r="AO232" s="177"/>
      <c r="AP232" s="177"/>
      <c r="AQ232" s="177"/>
      <c r="AR232" s="177"/>
      <c r="AS232" s="177"/>
      <c r="AT232" s="177"/>
      <c r="AU232" s="177"/>
      <c r="AV232" s="177"/>
      <c r="AW232" s="177"/>
      <c r="AX232" s="177"/>
      <c r="AY232" s="177"/>
      <c r="AZ232" s="177"/>
      <c r="BA232" s="177"/>
      <c r="BB232" s="177"/>
      <c r="BC232" s="177"/>
      <c r="BD232" s="177"/>
    </row>
    <row r="233" spans="28:56" ht="11.5" customHeight="1" x14ac:dyDescent="0.35">
      <c r="AB233" s="177"/>
      <c r="AC233" s="177"/>
      <c r="AD233" s="177"/>
      <c r="AE233" s="177"/>
      <c r="AF233" s="177"/>
      <c r="AG233" s="177"/>
      <c r="AH233" s="177"/>
      <c r="AI233" s="177"/>
      <c r="AJ233" s="177"/>
      <c r="AK233" s="177"/>
      <c r="AL233" s="177"/>
      <c r="AM233" s="177"/>
      <c r="AN233" s="177"/>
      <c r="AO233" s="177"/>
      <c r="AP233" s="177"/>
      <c r="AQ233" s="177"/>
      <c r="AR233" s="177"/>
      <c r="AS233" s="177"/>
      <c r="AT233" s="177"/>
      <c r="AU233" s="177"/>
      <c r="AV233" s="177"/>
      <c r="AW233" s="177"/>
      <c r="AX233" s="177"/>
      <c r="AY233" s="177"/>
      <c r="AZ233" s="177"/>
      <c r="BA233" s="177"/>
      <c r="BB233" s="177"/>
      <c r="BC233" s="177"/>
      <c r="BD233" s="177"/>
    </row>
    <row r="234" spans="28:56" ht="11.5" customHeight="1" x14ac:dyDescent="0.35">
      <c r="AB234" s="177"/>
      <c r="AC234" s="177"/>
      <c r="AD234" s="177"/>
      <c r="AE234" s="177"/>
      <c r="AF234" s="177"/>
      <c r="AG234" s="177"/>
      <c r="AH234" s="177"/>
      <c r="AI234" s="177"/>
      <c r="AJ234" s="177"/>
      <c r="AK234" s="177"/>
      <c r="AL234" s="177"/>
      <c r="AM234" s="177"/>
      <c r="AN234" s="177"/>
      <c r="AO234" s="177"/>
      <c r="AP234" s="177"/>
      <c r="AQ234" s="177"/>
      <c r="AR234" s="177"/>
      <c r="AS234" s="177"/>
      <c r="AT234" s="177"/>
      <c r="AU234" s="177"/>
      <c r="AV234" s="177"/>
      <c r="AW234" s="177"/>
      <c r="AX234" s="177"/>
      <c r="AY234" s="177"/>
      <c r="AZ234" s="177"/>
      <c r="BA234" s="177"/>
      <c r="BB234" s="177"/>
      <c r="BC234" s="177"/>
      <c r="BD234" s="177"/>
    </row>
    <row r="235" spans="28:56" ht="11.5" customHeight="1" x14ac:dyDescent="0.35">
      <c r="AB235" s="177"/>
      <c r="AC235" s="177"/>
      <c r="AD235" s="177"/>
      <c r="AE235" s="177"/>
      <c r="AF235" s="177"/>
      <c r="AG235" s="177"/>
      <c r="AH235" s="177"/>
      <c r="AI235" s="177"/>
      <c r="AJ235" s="177"/>
      <c r="AK235" s="177"/>
      <c r="AL235" s="177"/>
      <c r="AM235" s="177"/>
      <c r="AN235" s="177"/>
      <c r="AO235" s="177"/>
      <c r="AP235" s="177"/>
      <c r="AQ235" s="177"/>
      <c r="AR235" s="177"/>
      <c r="AS235" s="177"/>
      <c r="AT235" s="177"/>
      <c r="AU235" s="177"/>
      <c r="AV235" s="177"/>
      <c r="AW235" s="177"/>
      <c r="AX235" s="177"/>
      <c r="AY235" s="177"/>
      <c r="AZ235" s="177"/>
      <c r="BA235" s="177"/>
      <c r="BB235" s="177"/>
      <c r="BC235" s="177"/>
      <c r="BD235" s="177"/>
    </row>
    <row r="236" spans="28:56" ht="11.5" customHeight="1" x14ac:dyDescent="0.35">
      <c r="AB236" s="177"/>
      <c r="AC236" s="177"/>
      <c r="AD236" s="177"/>
      <c r="AE236" s="177"/>
      <c r="AF236" s="177"/>
      <c r="AG236" s="177"/>
      <c r="AH236" s="177"/>
      <c r="AI236" s="177"/>
      <c r="AJ236" s="177"/>
      <c r="AK236" s="177"/>
      <c r="AL236" s="177"/>
      <c r="AM236" s="177"/>
      <c r="AN236" s="177"/>
      <c r="AO236" s="177"/>
      <c r="AP236" s="177"/>
      <c r="AQ236" s="177"/>
      <c r="AR236" s="177"/>
      <c r="AS236" s="177"/>
      <c r="AT236" s="177"/>
      <c r="AU236" s="177"/>
      <c r="AV236" s="177"/>
      <c r="AW236" s="177"/>
      <c r="AX236" s="177"/>
      <c r="AY236" s="177"/>
      <c r="AZ236" s="177"/>
      <c r="BA236" s="177"/>
      <c r="BB236" s="177"/>
      <c r="BC236" s="177"/>
      <c r="BD236" s="177"/>
    </row>
    <row r="237" spans="28:56" ht="11.5" customHeight="1" x14ac:dyDescent="0.35">
      <c r="AB237" s="177"/>
      <c r="AC237" s="177"/>
      <c r="AD237" s="177"/>
      <c r="AE237" s="177"/>
      <c r="AF237" s="177"/>
      <c r="AG237" s="177"/>
      <c r="AH237" s="177"/>
      <c r="AI237" s="177"/>
      <c r="AJ237" s="177"/>
      <c r="AK237" s="177"/>
      <c r="AL237" s="177"/>
      <c r="AM237" s="177"/>
      <c r="AN237" s="177"/>
      <c r="AO237" s="177"/>
      <c r="AP237" s="177"/>
      <c r="AQ237" s="177"/>
      <c r="AR237" s="177"/>
      <c r="AS237" s="177"/>
      <c r="AT237" s="177"/>
      <c r="AU237" s="177"/>
      <c r="AV237" s="177"/>
      <c r="AW237" s="177"/>
      <c r="AX237" s="177"/>
      <c r="AY237" s="177"/>
      <c r="AZ237" s="177"/>
      <c r="BA237" s="177"/>
      <c r="BB237" s="177"/>
      <c r="BC237" s="177"/>
      <c r="BD237" s="177"/>
    </row>
    <row r="238" spans="28:56" ht="11.5" customHeight="1" x14ac:dyDescent="0.35">
      <c r="AB238" s="177"/>
      <c r="AC238" s="177"/>
      <c r="AD238" s="177"/>
      <c r="AE238" s="177"/>
      <c r="AF238" s="177"/>
      <c r="AG238" s="177"/>
      <c r="AH238" s="177"/>
      <c r="AI238" s="177"/>
      <c r="AJ238" s="177"/>
      <c r="AK238" s="177"/>
      <c r="AL238" s="177"/>
      <c r="AM238" s="177"/>
      <c r="AN238" s="177"/>
      <c r="AO238" s="177"/>
      <c r="AP238" s="177"/>
      <c r="AQ238" s="177"/>
      <c r="AR238" s="177"/>
      <c r="AS238" s="177"/>
      <c r="AT238" s="177"/>
      <c r="AU238" s="177"/>
      <c r="AV238" s="177"/>
      <c r="AW238" s="177"/>
      <c r="AX238" s="177"/>
      <c r="AY238" s="177"/>
      <c r="AZ238" s="177"/>
      <c r="BA238" s="177"/>
      <c r="BB238" s="177"/>
      <c r="BC238" s="177"/>
      <c r="BD238" s="177"/>
    </row>
    <row r="239" spans="28:56" ht="11.5" customHeight="1" x14ac:dyDescent="0.35">
      <c r="AB239" s="177"/>
      <c r="AC239" s="177"/>
      <c r="AD239" s="177"/>
      <c r="AE239" s="177"/>
      <c r="AF239" s="177"/>
      <c r="AG239" s="177"/>
      <c r="AH239" s="177"/>
      <c r="AI239" s="177"/>
      <c r="AJ239" s="177"/>
      <c r="AK239" s="177"/>
      <c r="AL239" s="177"/>
      <c r="AM239" s="177"/>
      <c r="AN239" s="177"/>
      <c r="AO239" s="177"/>
      <c r="AP239" s="177"/>
      <c r="AQ239" s="177"/>
      <c r="AR239" s="177"/>
      <c r="AS239" s="177"/>
      <c r="AT239" s="177"/>
      <c r="AU239" s="177"/>
      <c r="AV239" s="177"/>
      <c r="AW239" s="177"/>
      <c r="AX239" s="177"/>
      <c r="AY239" s="177"/>
      <c r="AZ239" s="177"/>
      <c r="BA239" s="177"/>
      <c r="BB239" s="177"/>
      <c r="BC239" s="177"/>
      <c r="BD239" s="177"/>
    </row>
    <row r="240" spans="28:56" ht="11.5" customHeight="1" x14ac:dyDescent="0.35">
      <c r="AB240" s="177"/>
      <c r="AC240" s="177"/>
      <c r="AD240" s="177"/>
      <c r="AE240" s="177"/>
      <c r="AF240" s="177"/>
      <c r="AG240" s="177"/>
      <c r="AH240" s="177"/>
      <c r="AI240" s="177"/>
      <c r="AJ240" s="177"/>
      <c r="AK240" s="177"/>
      <c r="AL240" s="177"/>
      <c r="AM240" s="177"/>
      <c r="AN240" s="177"/>
      <c r="AO240" s="177"/>
      <c r="AP240" s="177"/>
      <c r="AQ240" s="177"/>
      <c r="AR240" s="177"/>
      <c r="AS240" s="177"/>
      <c r="AT240" s="177"/>
      <c r="AU240" s="177"/>
      <c r="AV240" s="177"/>
      <c r="AW240" s="177"/>
      <c r="AX240" s="177"/>
      <c r="AY240" s="177"/>
      <c r="AZ240" s="177"/>
      <c r="BA240" s="177"/>
      <c r="BB240" s="177"/>
      <c r="BC240" s="177"/>
      <c r="BD240" s="177"/>
    </row>
    <row r="241" spans="28:56" ht="11.5" customHeight="1" x14ac:dyDescent="0.35">
      <c r="AB241" s="177"/>
      <c r="AC241" s="177"/>
      <c r="AD241" s="177"/>
      <c r="AE241" s="177"/>
      <c r="AF241" s="177"/>
      <c r="AG241" s="177"/>
      <c r="AH241" s="177"/>
      <c r="AI241" s="177"/>
      <c r="AJ241" s="177"/>
      <c r="AK241" s="177"/>
      <c r="AL241" s="177"/>
      <c r="AM241" s="177"/>
      <c r="AN241" s="177"/>
      <c r="AO241" s="177"/>
      <c r="AP241" s="177"/>
      <c r="AQ241" s="177"/>
      <c r="AR241" s="177"/>
      <c r="AS241" s="177"/>
      <c r="AT241" s="177"/>
      <c r="AU241" s="177"/>
      <c r="AV241" s="177"/>
      <c r="AW241" s="177"/>
      <c r="AX241" s="177"/>
      <c r="AY241" s="177"/>
      <c r="AZ241" s="177"/>
      <c r="BA241" s="177"/>
      <c r="BB241" s="177"/>
      <c r="BC241" s="177"/>
      <c r="BD241" s="177"/>
    </row>
    <row r="242" spans="28:56" ht="11.5" customHeight="1" x14ac:dyDescent="0.35">
      <c r="AB242" s="177"/>
      <c r="AC242" s="177"/>
      <c r="AD242" s="177"/>
      <c r="AE242" s="177"/>
      <c r="AF242" s="177"/>
      <c r="AG242" s="177"/>
      <c r="AH242" s="177"/>
      <c r="AI242" s="177"/>
      <c r="AJ242" s="177"/>
      <c r="AK242" s="177"/>
      <c r="AL242" s="177"/>
      <c r="AM242" s="177"/>
      <c r="AN242" s="177"/>
      <c r="AO242" s="177"/>
      <c r="AP242" s="177"/>
      <c r="AQ242" s="177"/>
      <c r="AR242" s="177"/>
      <c r="AS242" s="177"/>
      <c r="AT242" s="177"/>
      <c r="AU242" s="177"/>
      <c r="AV242" s="177"/>
      <c r="AW242" s="177"/>
      <c r="AX242" s="177"/>
      <c r="AY242" s="177"/>
      <c r="AZ242" s="177"/>
      <c r="BA242" s="177"/>
      <c r="BB242" s="177"/>
      <c r="BC242" s="177"/>
      <c r="BD242" s="177"/>
    </row>
    <row r="243" spans="28:56" ht="11.5" customHeight="1" x14ac:dyDescent="0.35">
      <c r="AB243" s="177"/>
      <c r="AC243" s="177"/>
      <c r="AD243" s="177"/>
      <c r="AE243" s="177"/>
      <c r="AF243" s="177"/>
      <c r="AG243" s="177"/>
      <c r="AH243" s="177"/>
      <c r="AI243" s="177"/>
      <c r="AJ243" s="177"/>
      <c r="AK243" s="177"/>
      <c r="AL243" s="177"/>
      <c r="AM243" s="177"/>
      <c r="AN243" s="177"/>
      <c r="AO243" s="177"/>
      <c r="AP243" s="177"/>
      <c r="AQ243" s="177"/>
      <c r="AR243" s="177"/>
      <c r="AS243" s="177"/>
      <c r="AT243" s="177"/>
      <c r="AU243" s="177"/>
      <c r="AV243" s="177"/>
      <c r="AW243" s="177"/>
      <c r="AX243" s="177"/>
      <c r="AY243" s="177"/>
      <c r="AZ243" s="177"/>
      <c r="BA243" s="177"/>
      <c r="BB243" s="177"/>
      <c r="BC243" s="177"/>
      <c r="BD243" s="177"/>
    </row>
    <row r="244" spans="28:56" ht="11.5" customHeight="1" x14ac:dyDescent="0.35">
      <c r="AB244" s="177"/>
      <c r="AC244" s="177"/>
      <c r="AD244" s="177"/>
      <c r="AE244" s="177"/>
      <c r="AF244" s="177"/>
      <c r="AG244" s="177"/>
      <c r="AH244" s="177"/>
      <c r="AI244" s="177"/>
      <c r="AJ244" s="177"/>
      <c r="AK244" s="177"/>
      <c r="AL244" s="177"/>
      <c r="AM244" s="177"/>
      <c r="AN244" s="177"/>
      <c r="AO244" s="177"/>
      <c r="AP244" s="177"/>
      <c r="AQ244" s="177"/>
      <c r="AR244" s="177"/>
      <c r="AS244" s="177"/>
      <c r="AT244" s="177"/>
      <c r="AU244" s="177"/>
      <c r="AV244" s="177"/>
      <c r="AW244" s="177"/>
      <c r="AX244" s="177"/>
      <c r="AY244" s="177"/>
      <c r="AZ244" s="177"/>
      <c r="BA244" s="177"/>
      <c r="BB244" s="177"/>
      <c r="BC244" s="177"/>
      <c r="BD244" s="177"/>
    </row>
    <row r="245" spans="28:56" ht="11.5" customHeight="1" x14ac:dyDescent="0.35">
      <c r="AB245" s="177"/>
      <c r="AC245" s="177"/>
      <c r="AD245" s="177"/>
      <c r="AE245" s="177"/>
      <c r="AF245" s="177"/>
      <c r="AG245" s="177"/>
      <c r="AH245" s="177"/>
      <c r="AI245" s="177"/>
      <c r="AJ245" s="177"/>
      <c r="AK245" s="177"/>
      <c r="AL245" s="177"/>
      <c r="AM245" s="177"/>
      <c r="AN245" s="177"/>
      <c r="AO245" s="177"/>
      <c r="AP245" s="177"/>
      <c r="AQ245" s="177"/>
      <c r="AR245" s="177"/>
      <c r="AS245" s="177"/>
      <c r="AT245" s="177"/>
      <c r="AU245" s="177"/>
      <c r="AV245" s="177"/>
      <c r="AW245" s="177"/>
      <c r="AX245" s="177"/>
      <c r="AY245" s="177"/>
      <c r="AZ245" s="177"/>
      <c r="BA245" s="177"/>
      <c r="BB245" s="177"/>
      <c r="BC245" s="177"/>
      <c r="BD245" s="177"/>
    </row>
    <row r="246" spans="28:56" ht="11.5" customHeight="1" x14ac:dyDescent="0.35">
      <c r="AB246" s="177"/>
      <c r="AC246" s="177"/>
      <c r="AD246" s="177"/>
      <c r="AE246" s="177"/>
      <c r="AF246" s="177"/>
      <c r="AG246" s="177"/>
      <c r="AH246" s="177"/>
      <c r="AI246" s="177"/>
      <c r="AJ246" s="177"/>
      <c r="AK246" s="177"/>
      <c r="AL246" s="177"/>
      <c r="AM246" s="177"/>
      <c r="AN246" s="177"/>
      <c r="AO246" s="177"/>
      <c r="AP246" s="177"/>
      <c r="AQ246" s="177"/>
      <c r="AR246" s="177"/>
      <c r="AS246" s="177"/>
      <c r="AT246" s="177"/>
      <c r="AU246" s="177"/>
      <c r="AV246" s="177"/>
      <c r="AW246" s="177"/>
      <c r="AX246" s="177"/>
      <c r="AY246" s="177"/>
      <c r="AZ246" s="177"/>
      <c r="BA246" s="177"/>
      <c r="BB246" s="177"/>
      <c r="BC246" s="177"/>
      <c r="BD246" s="177"/>
    </row>
    <row r="247" spans="28:56" ht="11.5" customHeight="1" x14ac:dyDescent="0.35">
      <c r="AB247" s="177"/>
      <c r="AC247" s="177"/>
      <c r="AD247" s="177"/>
      <c r="AE247" s="177"/>
      <c r="AF247" s="177"/>
      <c r="AG247" s="177"/>
      <c r="AH247" s="177"/>
      <c r="AI247" s="177"/>
      <c r="AJ247" s="177"/>
      <c r="AK247" s="177"/>
      <c r="AL247" s="177"/>
      <c r="AM247" s="177"/>
      <c r="AN247" s="177"/>
      <c r="AO247" s="177"/>
      <c r="AP247" s="177"/>
      <c r="AQ247" s="177"/>
      <c r="AR247" s="177"/>
      <c r="AS247" s="177"/>
      <c r="AT247" s="177"/>
      <c r="AU247" s="177"/>
      <c r="AV247" s="177"/>
      <c r="AW247" s="177"/>
      <c r="AX247" s="177"/>
      <c r="AY247" s="177"/>
      <c r="AZ247" s="177"/>
      <c r="BA247" s="177"/>
      <c r="BB247" s="177"/>
      <c r="BC247" s="177"/>
      <c r="BD247" s="177"/>
    </row>
    <row r="248" spans="28:56" ht="11.5" customHeight="1" x14ac:dyDescent="0.35">
      <c r="AB248" s="177"/>
      <c r="AC248" s="177"/>
      <c r="AD248" s="177"/>
      <c r="AE248" s="177"/>
      <c r="AF248" s="177"/>
      <c r="AG248" s="177"/>
      <c r="AH248" s="177"/>
      <c r="AI248" s="177"/>
      <c r="AJ248" s="177"/>
      <c r="AK248" s="177"/>
      <c r="AL248" s="177"/>
      <c r="AM248" s="177"/>
      <c r="AN248" s="177"/>
      <c r="AO248" s="177"/>
      <c r="AP248" s="177"/>
      <c r="AQ248" s="177"/>
      <c r="AR248" s="177"/>
      <c r="AS248" s="177"/>
      <c r="AT248" s="177"/>
      <c r="AU248" s="177"/>
      <c r="AV248" s="177"/>
      <c r="AW248" s="177"/>
      <c r="AX248" s="177"/>
      <c r="AY248" s="177"/>
      <c r="AZ248" s="177"/>
      <c r="BA248" s="177"/>
      <c r="BB248" s="177"/>
      <c r="BC248" s="177"/>
      <c r="BD248" s="177"/>
    </row>
    <row r="249" spans="28:56" ht="11.5" customHeight="1" x14ac:dyDescent="0.35">
      <c r="AB249" s="177"/>
      <c r="AC249" s="177"/>
      <c r="AD249" s="177"/>
      <c r="AE249" s="177"/>
      <c r="AF249" s="177"/>
      <c r="AG249" s="177"/>
      <c r="AH249" s="177"/>
      <c r="AI249" s="177"/>
      <c r="AJ249" s="177"/>
      <c r="AK249" s="177"/>
      <c r="AL249" s="177"/>
      <c r="AM249" s="177"/>
      <c r="AN249" s="177"/>
      <c r="AO249" s="177"/>
      <c r="AP249" s="177"/>
      <c r="AQ249" s="177"/>
      <c r="AR249" s="177"/>
      <c r="AS249" s="177"/>
      <c r="AT249" s="177"/>
      <c r="AU249" s="177"/>
      <c r="AV249" s="177"/>
      <c r="AW249" s="177"/>
      <c r="AX249" s="177"/>
      <c r="AY249" s="177"/>
      <c r="AZ249" s="177"/>
      <c r="BA249" s="177"/>
      <c r="BB249" s="177"/>
      <c r="BC249" s="177"/>
      <c r="BD249" s="177"/>
    </row>
    <row r="250" spans="28:56" ht="11.5" customHeight="1" x14ac:dyDescent="0.35">
      <c r="AB250" s="177"/>
      <c r="AC250" s="177"/>
      <c r="AD250" s="177"/>
      <c r="AE250" s="177"/>
      <c r="AF250" s="177"/>
      <c r="AG250" s="177"/>
      <c r="AH250" s="177"/>
      <c r="AI250" s="177"/>
      <c r="AJ250" s="177"/>
      <c r="AK250" s="177"/>
      <c r="AL250" s="177"/>
      <c r="AM250" s="177"/>
      <c r="AN250" s="177"/>
      <c r="AO250" s="177"/>
      <c r="AP250" s="177"/>
      <c r="AQ250" s="177"/>
      <c r="AR250" s="177"/>
      <c r="AS250" s="177"/>
      <c r="AT250" s="177"/>
      <c r="AU250" s="177"/>
      <c r="AV250" s="177"/>
      <c r="AW250" s="177"/>
      <c r="AX250" s="177"/>
      <c r="AY250" s="177"/>
      <c r="AZ250" s="177"/>
      <c r="BA250" s="177"/>
      <c r="BB250" s="177"/>
      <c r="BC250" s="177"/>
      <c r="BD250" s="177"/>
    </row>
    <row r="251" spans="28:56" ht="11.5" customHeight="1" x14ac:dyDescent="0.35">
      <c r="AB251" s="177"/>
      <c r="AC251" s="177"/>
      <c r="AD251" s="177"/>
      <c r="AE251" s="177"/>
      <c r="AF251" s="177"/>
      <c r="AG251" s="177"/>
      <c r="AH251" s="177"/>
      <c r="AI251" s="177"/>
      <c r="AJ251" s="177"/>
      <c r="AK251" s="177"/>
      <c r="AL251" s="177"/>
      <c r="AM251" s="177"/>
      <c r="AN251" s="177"/>
      <c r="AO251" s="177"/>
      <c r="AP251" s="177"/>
      <c r="AQ251" s="177"/>
      <c r="AR251" s="177"/>
      <c r="AS251" s="177"/>
      <c r="AT251" s="177"/>
      <c r="AU251" s="177"/>
      <c r="AV251" s="177"/>
      <c r="AW251" s="177"/>
      <c r="AX251" s="177"/>
      <c r="AY251" s="177"/>
      <c r="AZ251" s="177"/>
      <c r="BA251" s="177"/>
      <c r="BB251" s="177"/>
      <c r="BC251" s="177"/>
      <c r="BD251" s="177"/>
    </row>
    <row r="252" spans="28:56" ht="11.5" customHeight="1" x14ac:dyDescent="0.35">
      <c r="AB252" s="177"/>
      <c r="AC252" s="177"/>
      <c r="AD252" s="177"/>
      <c r="AE252" s="177"/>
      <c r="AF252" s="177"/>
      <c r="AG252" s="177"/>
      <c r="AH252" s="177"/>
      <c r="AI252" s="177"/>
      <c r="AJ252" s="177"/>
      <c r="AK252" s="177"/>
      <c r="AL252" s="177"/>
      <c r="AM252" s="177"/>
      <c r="AN252" s="177"/>
      <c r="AO252" s="177"/>
      <c r="AP252" s="177"/>
      <c r="AQ252" s="177"/>
      <c r="AR252" s="177"/>
      <c r="AS252" s="177"/>
      <c r="AT252" s="177"/>
      <c r="AU252" s="177"/>
      <c r="AV252" s="177"/>
      <c r="AW252" s="177"/>
      <c r="AX252" s="177"/>
      <c r="AY252" s="177"/>
      <c r="AZ252" s="177"/>
      <c r="BA252" s="177"/>
      <c r="BB252" s="177"/>
      <c r="BC252" s="177"/>
      <c r="BD252" s="177"/>
    </row>
    <row r="253" spans="28:56" ht="11.5" customHeight="1" x14ac:dyDescent="0.35">
      <c r="AB253" s="177"/>
      <c r="AC253" s="177"/>
      <c r="AD253" s="177"/>
      <c r="AE253" s="177"/>
      <c r="AF253" s="177"/>
      <c r="AG253" s="177"/>
      <c r="AH253" s="177"/>
      <c r="AI253" s="177"/>
      <c r="AJ253" s="177"/>
      <c r="AK253" s="177"/>
      <c r="AL253" s="177"/>
      <c r="AM253" s="177"/>
      <c r="AN253" s="177"/>
      <c r="AO253" s="177"/>
      <c r="AP253" s="177"/>
      <c r="AQ253" s="177"/>
      <c r="AR253" s="177"/>
      <c r="AS253" s="177"/>
      <c r="AT253" s="177"/>
      <c r="AU253" s="177"/>
      <c r="AV253" s="177"/>
      <c r="AW253" s="177"/>
      <c r="AX253" s="177"/>
      <c r="AY253" s="177"/>
      <c r="AZ253" s="177"/>
      <c r="BA253" s="177"/>
      <c r="BB253" s="177"/>
      <c r="BC253" s="177"/>
      <c r="BD253" s="177"/>
    </row>
    <row r="254" spans="28:56" ht="11.5" customHeight="1" x14ac:dyDescent="0.35">
      <c r="AB254" s="177"/>
      <c r="AC254" s="177"/>
      <c r="AD254" s="177"/>
      <c r="AE254" s="177"/>
      <c r="AF254" s="177"/>
      <c r="AG254" s="177"/>
      <c r="AH254" s="177"/>
      <c r="AI254" s="177"/>
      <c r="AJ254" s="177"/>
      <c r="AK254" s="177"/>
      <c r="AL254" s="177"/>
      <c r="AM254" s="177"/>
      <c r="AN254" s="177"/>
      <c r="AO254" s="177"/>
      <c r="AP254" s="177"/>
      <c r="AQ254" s="177"/>
      <c r="AR254" s="177"/>
      <c r="AS254" s="177"/>
      <c r="AT254" s="177"/>
      <c r="AU254" s="177"/>
      <c r="AV254" s="177"/>
      <c r="AW254" s="177"/>
      <c r="AX254" s="177"/>
      <c r="AY254" s="177"/>
      <c r="AZ254" s="177"/>
      <c r="BA254" s="177"/>
      <c r="BB254" s="177"/>
      <c r="BC254" s="177"/>
      <c r="BD254" s="177"/>
    </row>
    <row r="255" spans="28:56" ht="11.5" customHeight="1" x14ac:dyDescent="0.35">
      <c r="AB255" s="177"/>
      <c r="AC255" s="177"/>
      <c r="AD255" s="177"/>
      <c r="AE255" s="177"/>
      <c r="AF255" s="177"/>
      <c r="AG255" s="177"/>
      <c r="AH255" s="177"/>
      <c r="AI255" s="177"/>
      <c r="AJ255" s="177"/>
      <c r="AK255" s="177"/>
      <c r="AL255" s="177"/>
      <c r="AM255" s="177"/>
      <c r="AN255" s="177"/>
      <c r="AO255" s="177"/>
      <c r="AP255" s="177"/>
      <c r="AQ255" s="177"/>
      <c r="AR255" s="177"/>
      <c r="AS255" s="177"/>
      <c r="AT255" s="177"/>
      <c r="AU255" s="177"/>
      <c r="AV255" s="177"/>
      <c r="AW255" s="177"/>
      <c r="AX255" s="177"/>
      <c r="AY255" s="177"/>
      <c r="AZ255" s="177"/>
      <c r="BA255" s="177"/>
      <c r="BB255" s="177"/>
      <c r="BC255" s="177"/>
      <c r="BD255" s="177"/>
    </row>
    <row r="256" spans="28:56" ht="11.5" customHeight="1" x14ac:dyDescent="0.35">
      <c r="AB256" s="177"/>
      <c r="AC256" s="177"/>
      <c r="AD256" s="177"/>
      <c r="AE256" s="177"/>
      <c r="AF256" s="177"/>
      <c r="AG256" s="177"/>
      <c r="AH256" s="177"/>
      <c r="AI256" s="177"/>
      <c r="AJ256" s="177"/>
      <c r="AK256" s="177"/>
      <c r="AL256" s="177"/>
      <c r="AM256" s="177"/>
      <c r="AN256" s="177"/>
      <c r="AO256" s="177"/>
      <c r="AP256" s="177"/>
      <c r="AQ256" s="177"/>
      <c r="AR256" s="177"/>
      <c r="AS256" s="177"/>
      <c r="AT256" s="177"/>
      <c r="AU256" s="177"/>
      <c r="AV256" s="177"/>
      <c r="AW256" s="177"/>
      <c r="AX256" s="177"/>
      <c r="AY256" s="177"/>
      <c r="AZ256" s="177"/>
      <c r="BA256" s="177"/>
      <c r="BB256" s="177"/>
      <c r="BC256" s="177"/>
      <c r="BD256" s="177"/>
    </row>
    <row r="257" spans="28:56" ht="11.5" customHeight="1" x14ac:dyDescent="0.35">
      <c r="AB257" s="177"/>
      <c r="AC257" s="177"/>
      <c r="AD257" s="177"/>
      <c r="AE257" s="177"/>
      <c r="AF257" s="177"/>
      <c r="AG257" s="177"/>
      <c r="AH257" s="177"/>
      <c r="AI257" s="177"/>
      <c r="AJ257" s="177"/>
      <c r="AK257" s="177"/>
      <c r="AL257" s="177"/>
      <c r="AM257" s="177"/>
      <c r="AN257" s="177"/>
      <c r="AO257" s="177"/>
      <c r="AP257" s="177"/>
      <c r="AQ257" s="177"/>
      <c r="AR257" s="177"/>
      <c r="AS257" s="177"/>
      <c r="AT257" s="177"/>
      <c r="AU257" s="177"/>
      <c r="AV257" s="177"/>
      <c r="AW257" s="177"/>
      <c r="AX257" s="177"/>
      <c r="AY257" s="177"/>
      <c r="AZ257" s="177"/>
      <c r="BA257" s="177"/>
      <c r="BB257" s="177"/>
      <c r="BC257" s="177"/>
      <c r="BD257" s="177"/>
    </row>
    <row r="258" spans="28:56" ht="11.5" customHeight="1" x14ac:dyDescent="0.35">
      <c r="AB258" s="177"/>
      <c r="AC258" s="177"/>
      <c r="AD258" s="177"/>
      <c r="AE258" s="177"/>
      <c r="AF258" s="177"/>
      <c r="AG258" s="177"/>
      <c r="AH258" s="177"/>
      <c r="AI258" s="177"/>
      <c r="AJ258" s="177"/>
      <c r="AK258" s="177"/>
      <c r="AL258" s="177"/>
      <c r="AM258" s="177"/>
      <c r="AN258" s="177"/>
      <c r="AO258" s="177"/>
      <c r="AP258" s="177"/>
      <c r="AQ258" s="177"/>
      <c r="AR258" s="177"/>
      <c r="AS258" s="177"/>
      <c r="AT258" s="177"/>
      <c r="AU258" s="177"/>
      <c r="AV258" s="177"/>
      <c r="AW258" s="177"/>
      <c r="AX258" s="177"/>
      <c r="AY258" s="177"/>
      <c r="AZ258" s="177"/>
      <c r="BA258" s="177"/>
      <c r="BB258" s="177"/>
      <c r="BC258" s="177"/>
      <c r="BD258" s="177"/>
    </row>
    <row r="259" spans="28:56" ht="11.5" customHeight="1" x14ac:dyDescent="0.35">
      <c r="AB259" s="177"/>
      <c r="AC259" s="177"/>
      <c r="AD259" s="177"/>
      <c r="AE259" s="177"/>
      <c r="AF259" s="177"/>
      <c r="AG259" s="177"/>
      <c r="AH259" s="177"/>
      <c r="AI259" s="177"/>
      <c r="AJ259" s="177"/>
      <c r="AK259" s="177"/>
      <c r="AL259" s="177"/>
      <c r="AM259" s="177"/>
      <c r="AN259" s="177"/>
      <c r="AO259" s="177"/>
      <c r="AP259" s="177"/>
      <c r="AQ259" s="177"/>
      <c r="AR259" s="177"/>
      <c r="AS259" s="177"/>
      <c r="AT259" s="177"/>
      <c r="AU259" s="177"/>
      <c r="AV259" s="177"/>
      <c r="AW259" s="177"/>
      <c r="AX259" s="177"/>
      <c r="AY259" s="177"/>
      <c r="AZ259" s="177"/>
      <c r="BA259" s="177"/>
      <c r="BB259" s="177"/>
      <c r="BC259" s="177"/>
      <c r="BD259" s="177"/>
    </row>
    <row r="260" spans="28:56" ht="11.5" customHeight="1" x14ac:dyDescent="0.35">
      <c r="AB260" s="177"/>
      <c r="AC260" s="177"/>
      <c r="AD260" s="177"/>
      <c r="AE260" s="177"/>
      <c r="AF260" s="177"/>
      <c r="AG260" s="177"/>
      <c r="AH260" s="177"/>
      <c r="AI260" s="177"/>
      <c r="AJ260" s="177"/>
      <c r="AK260" s="177"/>
      <c r="AL260" s="177"/>
      <c r="AM260" s="177"/>
      <c r="AN260" s="177"/>
      <c r="AO260" s="177"/>
      <c r="AP260" s="177"/>
      <c r="AQ260" s="177"/>
      <c r="AR260" s="177"/>
      <c r="AS260" s="177"/>
      <c r="AT260" s="177"/>
      <c r="AU260" s="177"/>
      <c r="AV260" s="177"/>
      <c r="AW260" s="177"/>
      <c r="AX260" s="177"/>
      <c r="AY260" s="177"/>
      <c r="AZ260" s="177"/>
      <c r="BA260" s="177"/>
      <c r="BB260" s="177"/>
      <c r="BC260" s="177"/>
      <c r="BD260" s="177"/>
    </row>
    <row r="261" spans="28:56" ht="11.5" customHeight="1" x14ac:dyDescent="0.35">
      <c r="AB261" s="177"/>
      <c r="AC261" s="177"/>
      <c r="AD261" s="177"/>
      <c r="AE261" s="177"/>
      <c r="AF261" s="177"/>
      <c r="AG261" s="177"/>
      <c r="AH261" s="177"/>
      <c r="AI261" s="177"/>
      <c r="AJ261" s="177"/>
      <c r="AK261" s="177"/>
      <c r="AL261" s="177"/>
      <c r="AM261" s="177"/>
      <c r="AN261" s="177"/>
      <c r="AO261" s="177"/>
      <c r="AP261" s="177"/>
      <c r="AQ261" s="177"/>
      <c r="AR261" s="177"/>
      <c r="AS261" s="177"/>
      <c r="AT261" s="177"/>
      <c r="AU261" s="177"/>
      <c r="AV261" s="177"/>
      <c r="AW261" s="177"/>
      <c r="AX261" s="177"/>
      <c r="AY261" s="177"/>
      <c r="AZ261" s="177"/>
      <c r="BA261" s="177"/>
      <c r="BB261" s="177"/>
      <c r="BC261" s="177"/>
      <c r="BD261" s="177"/>
    </row>
    <row r="262" spans="28:56" ht="11.5" customHeight="1" x14ac:dyDescent="0.35">
      <c r="AB262" s="177"/>
      <c r="AC262" s="177"/>
      <c r="AD262" s="177"/>
      <c r="AE262" s="177"/>
      <c r="AF262" s="177"/>
      <c r="AG262" s="177"/>
      <c r="AH262" s="177"/>
      <c r="AI262" s="177"/>
      <c r="AJ262" s="177"/>
      <c r="AK262" s="177"/>
      <c r="AL262" s="177"/>
      <c r="AM262" s="177"/>
      <c r="AN262" s="177"/>
      <c r="AO262" s="177"/>
      <c r="AP262" s="177"/>
      <c r="AQ262" s="177"/>
      <c r="AR262" s="177"/>
      <c r="AS262" s="177"/>
      <c r="AT262" s="177"/>
      <c r="AU262" s="177"/>
      <c r="AV262" s="177"/>
      <c r="AW262" s="177"/>
      <c r="AX262" s="177"/>
      <c r="AY262" s="177"/>
      <c r="AZ262" s="177"/>
      <c r="BA262" s="177"/>
      <c r="BB262" s="177"/>
      <c r="BC262" s="177"/>
      <c r="BD262" s="177"/>
    </row>
    <row r="263" spans="28:56" ht="11.5" customHeight="1" x14ac:dyDescent="0.35">
      <c r="AB263" s="177"/>
      <c r="AC263" s="177"/>
      <c r="AD263" s="177"/>
      <c r="AE263" s="177"/>
      <c r="AF263" s="177"/>
      <c r="AG263" s="177"/>
      <c r="AH263" s="177"/>
      <c r="AI263" s="177"/>
      <c r="AJ263" s="177"/>
      <c r="AK263" s="177"/>
      <c r="AL263" s="177"/>
      <c r="AM263" s="177"/>
      <c r="AN263" s="177"/>
      <c r="AO263" s="177"/>
      <c r="AP263" s="177"/>
      <c r="AQ263" s="177"/>
      <c r="AR263" s="177"/>
      <c r="AS263" s="177"/>
      <c r="AT263" s="177"/>
      <c r="AU263" s="177"/>
      <c r="AV263" s="177"/>
      <c r="AW263" s="177"/>
      <c r="AX263" s="177"/>
      <c r="AY263" s="177"/>
      <c r="AZ263" s="177"/>
      <c r="BA263" s="177"/>
      <c r="BB263" s="177"/>
      <c r="BC263" s="177"/>
      <c r="BD263" s="177"/>
    </row>
    <row r="264" spans="28:56" ht="11.5" customHeight="1" x14ac:dyDescent="0.35">
      <c r="AB264" s="177"/>
      <c r="AC264" s="177"/>
      <c r="AD264" s="177"/>
      <c r="AE264" s="177"/>
      <c r="AF264" s="177"/>
      <c r="AG264" s="177"/>
      <c r="AH264" s="177"/>
      <c r="AI264" s="177"/>
      <c r="AJ264" s="177"/>
      <c r="AK264" s="177"/>
      <c r="AL264" s="177"/>
      <c r="AM264" s="177"/>
      <c r="AN264" s="177"/>
      <c r="AO264" s="177"/>
      <c r="AP264" s="177"/>
      <c r="AQ264" s="177"/>
      <c r="AR264" s="177"/>
      <c r="AS264" s="177"/>
      <c r="AT264" s="177"/>
      <c r="AU264" s="177"/>
      <c r="AV264" s="177"/>
      <c r="AW264" s="177"/>
      <c r="AX264" s="177"/>
      <c r="AY264" s="177"/>
      <c r="AZ264" s="177"/>
      <c r="BA264" s="177"/>
      <c r="BB264" s="177"/>
      <c r="BC264" s="177"/>
      <c r="BD264" s="177"/>
    </row>
    <row r="265" spans="28:56" ht="11.5" customHeight="1" x14ac:dyDescent="0.35">
      <c r="AB265" s="177"/>
      <c r="AC265" s="177"/>
      <c r="AD265" s="177"/>
      <c r="AE265" s="177"/>
      <c r="AF265" s="177"/>
      <c r="AG265" s="177"/>
      <c r="AH265" s="177"/>
      <c r="AI265" s="177"/>
      <c r="AJ265" s="177"/>
      <c r="AK265" s="177"/>
      <c r="AL265" s="177"/>
      <c r="AM265" s="177"/>
      <c r="AN265" s="177"/>
      <c r="AO265" s="177"/>
      <c r="AP265" s="177"/>
      <c r="AQ265" s="177"/>
      <c r="AR265" s="177"/>
      <c r="AS265" s="177"/>
      <c r="AT265" s="177"/>
      <c r="AU265" s="177"/>
      <c r="AV265" s="177"/>
      <c r="AW265" s="177"/>
      <c r="AX265" s="177"/>
      <c r="AY265" s="177"/>
      <c r="AZ265" s="177"/>
      <c r="BA265" s="177"/>
      <c r="BB265" s="177"/>
      <c r="BC265" s="177"/>
      <c r="BD265" s="177"/>
    </row>
    <row r="266" spans="28:56" ht="11.5" customHeight="1" x14ac:dyDescent="0.35">
      <c r="AB266" s="177"/>
      <c r="AC266" s="177"/>
      <c r="AD266" s="177"/>
      <c r="AE266" s="177"/>
      <c r="AF266" s="177"/>
      <c r="AG266" s="177"/>
      <c r="AH266" s="177"/>
      <c r="AI266" s="177"/>
      <c r="AJ266" s="177"/>
      <c r="AK266" s="177"/>
      <c r="AL266" s="177"/>
      <c r="AM266" s="177"/>
      <c r="AN266" s="177"/>
      <c r="AO266" s="177"/>
      <c r="AP266" s="177"/>
      <c r="AQ266" s="177"/>
      <c r="AR266" s="177"/>
      <c r="AS266" s="177"/>
      <c r="AT266" s="177"/>
      <c r="AU266" s="177"/>
      <c r="AV266" s="177"/>
      <c r="AW266" s="177"/>
      <c r="AX266" s="177"/>
      <c r="AY266" s="177"/>
      <c r="AZ266" s="177"/>
      <c r="BA266" s="177"/>
      <c r="BB266" s="177"/>
      <c r="BC266" s="177"/>
      <c r="BD266" s="177"/>
    </row>
    <row r="267" spans="28:56" ht="11.5" customHeight="1" x14ac:dyDescent="0.35">
      <c r="AB267" s="177"/>
      <c r="AC267" s="177"/>
      <c r="AD267" s="177"/>
      <c r="AE267" s="177"/>
      <c r="AF267" s="177"/>
      <c r="AG267" s="177"/>
      <c r="AH267" s="177"/>
      <c r="AI267" s="177"/>
      <c r="AJ267" s="177"/>
      <c r="AK267" s="177"/>
      <c r="AL267" s="177"/>
      <c r="AM267" s="177"/>
      <c r="AN267" s="177"/>
      <c r="AO267" s="177"/>
      <c r="AP267" s="177"/>
      <c r="AQ267" s="177"/>
      <c r="AR267" s="177"/>
      <c r="AS267" s="177"/>
      <c r="AT267" s="177"/>
      <c r="AU267" s="177"/>
      <c r="AV267" s="177"/>
      <c r="AW267" s="177"/>
      <c r="AX267" s="177"/>
      <c r="AY267" s="177"/>
      <c r="AZ267" s="177"/>
      <c r="BA267" s="177"/>
      <c r="BB267" s="177"/>
      <c r="BC267" s="177"/>
      <c r="BD267" s="177"/>
    </row>
    <row r="268" spans="28:56" ht="11.5" customHeight="1" x14ac:dyDescent="0.35">
      <c r="AB268" s="177"/>
      <c r="AC268" s="177"/>
      <c r="AD268" s="177"/>
      <c r="AE268" s="177"/>
      <c r="AF268" s="177"/>
      <c r="AG268" s="177"/>
      <c r="AH268" s="177"/>
      <c r="AI268" s="177"/>
      <c r="AJ268" s="177"/>
      <c r="AK268" s="177"/>
      <c r="AL268" s="177"/>
      <c r="AM268" s="177"/>
      <c r="AN268" s="177"/>
      <c r="AO268" s="177"/>
      <c r="AP268" s="177"/>
      <c r="AQ268" s="177"/>
      <c r="AR268" s="177"/>
      <c r="AS268" s="177"/>
      <c r="AT268" s="177"/>
      <c r="AU268" s="177"/>
      <c r="AV268" s="177"/>
      <c r="AW268" s="177"/>
      <c r="AX268" s="177"/>
      <c r="AY268" s="177"/>
      <c r="AZ268" s="177"/>
      <c r="BA268" s="177"/>
      <c r="BB268" s="177"/>
      <c r="BC268" s="177"/>
      <c r="BD268" s="177"/>
    </row>
    <row r="269" spans="28:56" ht="11.5" customHeight="1" x14ac:dyDescent="0.35">
      <c r="AB269" s="177"/>
      <c r="AC269" s="177"/>
      <c r="AD269" s="177"/>
      <c r="AE269" s="177"/>
      <c r="AF269" s="177"/>
      <c r="AG269" s="177"/>
      <c r="AH269" s="177"/>
      <c r="AI269" s="177"/>
      <c r="AJ269" s="177"/>
      <c r="AK269" s="177"/>
      <c r="AL269" s="177"/>
      <c r="AM269" s="177"/>
      <c r="AN269" s="177"/>
      <c r="AO269" s="177"/>
      <c r="AP269" s="177"/>
      <c r="AQ269" s="177"/>
      <c r="AR269" s="177"/>
      <c r="AS269" s="177"/>
      <c r="AT269" s="177"/>
      <c r="AU269" s="177"/>
      <c r="AV269" s="177"/>
      <c r="AW269" s="177"/>
      <c r="AX269" s="177"/>
      <c r="AY269" s="177"/>
      <c r="AZ269" s="177"/>
      <c r="BA269" s="177"/>
      <c r="BB269" s="177"/>
      <c r="BC269" s="177"/>
      <c r="BD269" s="177"/>
    </row>
    <row r="270" spans="28:56" ht="11.5" customHeight="1" x14ac:dyDescent="0.35">
      <c r="AB270" s="177"/>
      <c r="AC270" s="177"/>
      <c r="AD270" s="177"/>
      <c r="AE270" s="177"/>
      <c r="AF270" s="177"/>
      <c r="AG270" s="177"/>
      <c r="AH270" s="177"/>
      <c r="AI270" s="177"/>
      <c r="AJ270" s="177"/>
      <c r="AK270" s="177"/>
      <c r="AL270" s="177"/>
      <c r="AM270" s="177"/>
      <c r="AN270" s="177"/>
      <c r="AO270" s="177"/>
      <c r="AP270" s="177"/>
      <c r="AQ270" s="177"/>
      <c r="AR270" s="177"/>
      <c r="AS270" s="177"/>
      <c r="AT270" s="177"/>
      <c r="AU270" s="177"/>
      <c r="AV270" s="177"/>
      <c r="AW270" s="177"/>
      <c r="AX270" s="177"/>
      <c r="AY270" s="177"/>
      <c r="AZ270" s="177"/>
      <c r="BA270" s="177"/>
      <c r="BB270" s="177"/>
      <c r="BC270" s="177"/>
      <c r="BD270" s="177"/>
    </row>
    <row r="271" spans="28:56" ht="11.5" customHeight="1" x14ac:dyDescent="0.35">
      <c r="AB271" s="177"/>
      <c r="AC271" s="177"/>
      <c r="AD271" s="177"/>
      <c r="AE271" s="177"/>
      <c r="AF271" s="177"/>
      <c r="AG271" s="177"/>
      <c r="AH271" s="177"/>
      <c r="AI271" s="177"/>
      <c r="AJ271" s="177"/>
      <c r="AK271" s="177"/>
      <c r="AL271" s="177"/>
      <c r="AM271" s="177"/>
      <c r="AN271" s="177"/>
      <c r="AO271" s="177"/>
      <c r="AP271" s="177"/>
      <c r="AQ271" s="177"/>
      <c r="AR271" s="177"/>
      <c r="AS271" s="177"/>
      <c r="AT271" s="177"/>
      <c r="AU271" s="177"/>
      <c r="AV271" s="177"/>
      <c r="AW271" s="177"/>
      <c r="AX271" s="177"/>
      <c r="AY271" s="177"/>
      <c r="AZ271" s="177"/>
      <c r="BA271" s="177"/>
      <c r="BB271" s="177"/>
      <c r="BC271" s="177"/>
      <c r="BD271" s="177"/>
    </row>
    <row r="272" spans="28:56" ht="11.5" customHeight="1" x14ac:dyDescent="0.35">
      <c r="AB272" s="177"/>
      <c r="AC272" s="177"/>
      <c r="AD272" s="177"/>
      <c r="AE272" s="177"/>
      <c r="AF272" s="177"/>
      <c r="AG272" s="177"/>
      <c r="AH272" s="177"/>
      <c r="AI272" s="177"/>
      <c r="AJ272" s="177"/>
      <c r="AK272" s="177"/>
      <c r="AL272" s="177"/>
      <c r="AM272" s="177"/>
      <c r="AN272" s="177"/>
      <c r="AO272" s="177"/>
      <c r="AP272" s="177"/>
      <c r="AQ272" s="177"/>
      <c r="AR272" s="177"/>
      <c r="AS272" s="177"/>
      <c r="AT272" s="177"/>
      <c r="AU272" s="177"/>
      <c r="AV272" s="177"/>
      <c r="AW272" s="177"/>
      <c r="AX272" s="177"/>
      <c r="AY272" s="177"/>
      <c r="AZ272" s="177"/>
      <c r="BA272" s="177"/>
      <c r="BB272" s="177"/>
      <c r="BC272" s="177"/>
      <c r="BD272" s="177"/>
    </row>
    <row r="273" spans="28:56" ht="11.5" customHeight="1" x14ac:dyDescent="0.35">
      <c r="AB273" s="177"/>
      <c r="AC273" s="177"/>
      <c r="AD273" s="177"/>
      <c r="AE273" s="177"/>
      <c r="AF273" s="177"/>
      <c r="AG273" s="177"/>
      <c r="AH273" s="177"/>
      <c r="AI273" s="177"/>
      <c r="AJ273" s="177"/>
      <c r="AK273" s="177"/>
      <c r="AL273" s="177"/>
      <c r="AM273" s="177"/>
      <c r="AN273" s="177"/>
      <c r="AO273" s="177"/>
      <c r="AP273" s="177"/>
      <c r="AQ273" s="177"/>
      <c r="AR273" s="177"/>
      <c r="AS273" s="177"/>
      <c r="AT273" s="177"/>
      <c r="AU273" s="177"/>
      <c r="AV273" s="177"/>
      <c r="AW273" s="177"/>
      <c r="AX273" s="177"/>
      <c r="AY273" s="177"/>
      <c r="AZ273" s="177"/>
      <c r="BA273" s="177"/>
      <c r="BB273" s="177"/>
      <c r="BC273" s="177"/>
      <c r="BD273" s="177"/>
    </row>
    <row r="274" spans="28:56" ht="11.5" customHeight="1" x14ac:dyDescent="0.35">
      <c r="AB274" s="177"/>
      <c r="AC274" s="177"/>
      <c r="AD274" s="177"/>
      <c r="AE274" s="177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7"/>
      <c r="AP274" s="177"/>
      <c r="AQ274" s="177"/>
      <c r="AR274" s="177"/>
      <c r="AS274" s="177"/>
      <c r="AT274" s="177"/>
      <c r="AU274" s="177"/>
      <c r="AV274" s="177"/>
      <c r="AW274" s="177"/>
      <c r="AX274" s="177"/>
      <c r="AY274" s="177"/>
      <c r="AZ274" s="177"/>
      <c r="BA274" s="177"/>
      <c r="BB274" s="177"/>
      <c r="BC274" s="177"/>
      <c r="BD274" s="177"/>
    </row>
    <row r="275" spans="28:56" ht="11.5" customHeight="1" x14ac:dyDescent="0.35">
      <c r="AB275" s="177"/>
      <c r="AC275" s="177"/>
      <c r="AD275" s="177"/>
      <c r="AE275" s="177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7"/>
      <c r="AP275" s="177"/>
      <c r="AQ275" s="177"/>
      <c r="AR275" s="177"/>
      <c r="AS275" s="177"/>
      <c r="AT275" s="177"/>
      <c r="AU275" s="177"/>
      <c r="AV275" s="177"/>
      <c r="AW275" s="177"/>
      <c r="AX275" s="177"/>
      <c r="AY275" s="177"/>
      <c r="AZ275" s="177"/>
      <c r="BA275" s="177"/>
      <c r="BB275" s="177"/>
      <c r="BC275" s="177"/>
      <c r="BD275" s="177"/>
    </row>
    <row r="276" spans="28:56" ht="11.5" customHeight="1" x14ac:dyDescent="0.35">
      <c r="AB276" s="177"/>
      <c r="AC276" s="177"/>
      <c r="AD276" s="177"/>
      <c r="AE276" s="177"/>
      <c r="AF276" s="177"/>
      <c r="AG276" s="177"/>
      <c r="AH276" s="177"/>
      <c r="AI276" s="177"/>
      <c r="AJ276" s="177"/>
      <c r="AK276" s="177"/>
      <c r="AL276" s="177"/>
      <c r="AM276" s="177"/>
      <c r="AN276" s="177"/>
      <c r="AO276" s="177"/>
      <c r="AP276" s="177"/>
      <c r="AQ276" s="177"/>
      <c r="AR276" s="177"/>
      <c r="AS276" s="177"/>
      <c r="AT276" s="177"/>
      <c r="AU276" s="177"/>
      <c r="AV276" s="177"/>
      <c r="AW276" s="177"/>
      <c r="AX276" s="177"/>
      <c r="AY276" s="177"/>
      <c r="AZ276" s="177"/>
      <c r="BA276" s="177"/>
      <c r="BB276" s="177"/>
      <c r="BC276" s="177"/>
      <c r="BD276" s="177"/>
    </row>
    <row r="277" spans="28:56" ht="11.5" customHeight="1" x14ac:dyDescent="0.35">
      <c r="AB277" s="177"/>
      <c r="AC277" s="177"/>
      <c r="AD277" s="177"/>
      <c r="AE277" s="177"/>
      <c r="AF277" s="177"/>
      <c r="AG277" s="177"/>
      <c r="AH277" s="177"/>
      <c r="AI277" s="177"/>
      <c r="AJ277" s="177"/>
      <c r="AK277" s="177"/>
      <c r="AL277" s="177"/>
      <c r="AM277" s="177"/>
      <c r="AN277" s="177"/>
      <c r="AO277" s="177"/>
      <c r="AP277" s="177"/>
      <c r="AQ277" s="177"/>
      <c r="AR277" s="177"/>
      <c r="AS277" s="177"/>
      <c r="AT277" s="177"/>
      <c r="AU277" s="177"/>
      <c r="AV277" s="177"/>
      <c r="AW277" s="177"/>
      <c r="AX277" s="177"/>
      <c r="AY277" s="177"/>
      <c r="AZ277" s="177"/>
      <c r="BA277" s="177"/>
      <c r="BB277" s="177"/>
      <c r="BC277" s="177"/>
      <c r="BD277" s="177"/>
    </row>
    <row r="278" spans="28:56" ht="11.5" customHeight="1" x14ac:dyDescent="0.35">
      <c r="AB278" s="177"/>
      <c r="AC278" s="177"/>
      <c r="AD278" s="177"/>
      <c r="AE278" s="177"/>
      <c r="AF278" s="177"/>
      <c r="AG278" s="177"/>
      <c r="AH278" s="177"/>
      <c r="AI278" s="177"/>
      <c r="AJ278" s="177"/>
      <c r="AK278" s="177"/>
      <c r="AL278" s="177"/>
      <c r="AM278" s="177"/>
      <c r="AN278" s="177"/>
      <c r="AO278" s="177"/>
      <c r="AP278" s="177"/>
      <c r="AQ278" s="177"/>
      <c r="AR278" s="177"/>
      <c r="AS278" s="177"/>
      <c r="AT278" s="177"/>
      <c r="AU278" s="177"/>
      <c r="AV278" s="177"/>
      <c r="AW278" s="177"/>
      <c r="AX278" s="177"/>
      <c r="AY278" s="177"/>
      <c r="AZ278" s="177"/>
      <c r="BA278" s="177"/>
      <c r="BB278" s="177"/>
      <c r="BC278" s="177"/>
      <c r="BD278" s="177"/>
    </row>
    <row r="279" spans="28:56" ht="11.5" customHeight="1" x14ac:dyDescent="0.35">
      <c r="AB279" s="177"/>
      <c r="AC279" s="177"/>
      <c r="AD279" s="177"/>
      <c r="AE279" s="177"/>
      <c r="AF279" s="177"/>
      <c r="AG279" s="177"/>
      <c r="AH279" s="177"/>
      <c r="AI279" s="177"/>
      <c r="AJ279" s="177"/>
      <c r="AK279" s="177"/>
      <c r="AL279" s="177"/>
      <c r="AM279" s="177"/>
      <c r="AN279" s="177"/>
      <c r="AO279" s="177"/>
      <c r="AP279" s="177"/>
      <c r="AQ279" s="177"/>
      <c r="AR279" s="177"/>
      <c r="AS279" s="177"/>
      <c r="AT279" s="177"/>
      <c r="AU279" s="177"/>
      <c r="AV279" s="177"/>
      <c r="AW279" s="177"/>
      <c r="AX279" s="177"/>
      <c r="AY279" s="177"/>
      <c r="AZ279" s="177"/>
      <c r="BA279" s="177"/>
      <c r="BB279" s="177"/>
      <c r="BC279" s="177"/>
      <c r="BD279" s="177"/>
    </row>
    <row r="280" spans="28:56" ht="11.5" customHeight="1" x14ac:dyDescent="0.35">
      <c r="AB280" s="177"/>
      <c r="AC280" s="177"/>
      <c r="AD280" s="177"/>
      <c r="AE280" s="177"/>
      <c r="AF280" s="177"/>
      <c r="AG280" s="177"/>
      <c r="AH280" s="177"/>
      <c r="AI280" s="177"/>
      <c r="AJ280" s="177"/>
      <c r="AK280" s="177"/>
      <c r="AL280" s="177"/>
      <c r="AM280" s="177"/>
      <c r="AN280" s="177"/>
      <c r="AO280" s="177"/>
      <c r="AP280" s="177"/>
      <c r="AQ280" s="177"/>
      <c r="AR280" s="177"/>
      <c r="AS280" s="177"/>
      <c r="AT280" s="177"/>
      <c r="AU280" s="177"/>
      <c r="AV280" s="177"/>
      <c r="AW280" s="177"/>
      <c r="AX280" s="177"/>
      <c r="AY280" s="177"/>
      <c r="AZ280" s="177"/>
      <c r="BA280" s="177"/>
      <c r="BB280" s="177"/>
      <c r="BC280" s="177"/>
      <c r="BD280" s="177"/>
    </row>
    <row r="281" spans="28:56" ht="11.5" customHeight="1" x14ac:dyDescent="0.35">
      <c r="AB281" s="177"/>
      <c r="AC281" s="177"/>
      <c r="AD281" s="177"/>
      <c r="AE281" s="177"/>
      <c r="AF281" s="177"/>
      <c r="AG281" s="177"/>
      <c r="AH281" s="177"/>
      <c r="AI281" s="177"/>
      <c r="AJ281" s="177"/>
      <c r="AK281" s="177"/>
      <c r="AL281" s="177"/>
      <c r="AM281" s="177"/>
      <c r="AN281" s="177"/>
      <c r="AO281" s="177"/>
      <c r="AP281" s="177"/>
      <c r="AQ281" s="177"/>
      <c r="AR281" s="177"/>
      <c r="AS281" s="177"/>
      <c r="AT281" s="177"/>
      <c r="AU281" s="177"/>
      <c r="AV281" s="177"/>
      <c r="AW281" s="177"/>
      <c r="AX281" s="177"/>
      <c r="AY281" s="177"/>
      <c r="AZ281" s="177"/>
      <c r="BA281" s="177"/>
      <c r="BB281" s="177"/>
      <c r="BC281" s="177"/>
      <c r="BD281" s="177"/>
    </row>
    <row r="282" spans="28:56" ht="11.5" customHeight="1" x14ac:dyDescent="0.35">
      <c r="AB282" s="177"/>
      <c r="AC282" s="177"/>
      <c r="AD282" s="177"/>
      <c r="AE282" s="177"/>
      <c r="AF282" s="177"/>
      <c r="AG282" s="177"/>
      <c r="AH282" s="177"/>
      <c r="AI282" s="177"/>
      <c r="AJ282" s="177"/>
      <c r="AK282" s="177"/>
      <c r="AL282" s="177"/>
      <c r="AM282" s="177"/>
      <c r="AN282" s="177"/>
      <c r="AO282" s="177"/>
      <c r="AP282" s="177"/>
      <c r="AQ282" s="177"/>
      <c r="AR282" s="177"/>
      <c r="AS282" s="177"/>
      <c r="AT282" s="177"/>
      <c r="AU282" s="177"/>
      <c r="AV282" s="177"/>
      <c r="AW282" s="177"/>
      <c r="AX282" s="177"/>
      <c r="AY282" s="177"/>
      <c r="AZ282" s="177"/>
      <c r="BA282" s="177"/>
      <c r="BB282" s="177"/>
      <c r="BC282" s="177"/>
      <c r="BD282" s="177"/>
    </row>
    <row r="283" spans="28:56" ht="11.5" customHeight="1" x14ac:dyDescent="0.35">
      <c r="AB283" s="177"/>
      <c r="AC283" s="177"/>
      <c r="AD283" s="177"/>
      <c r="AE283" s="177"/>
      <c r="AF283" s="177"/>
      <c r="AG283" s="177"/>
      <c r="AH283" s="177"/>
      <c r="AI283" s="177"/>
      <c r="AJ283" s="177"/>
      <c r="AK283" s="177"/>
      <c r="AL283" s="177"/>
      <c r="AM283" s="177"/>
      <c r="AN283" s="177"/>
      <c r="AO283" s="177"/>
      <c r="AP283" s="177"/>
      <c r="AQ283" s="177"/>
      <c r="AR283" s="177"/>
      <c r="AS283" s="177"/>
      <c r="AT283" s="177"/>
      <c r="AU283" s="177"/>
      <c r="AV283" s="177"/>
      <c r="AW283" s="177"/>
      <c r="AX283" s="177"/>
      <c r="AY283" s="177"/>
      <c r="AZ283" s="177"/>
      <c r="BA283" s="177"/>
      <c r="BB283" s="177"/>
      <c r="BC283" s="177"/>
      <c r="BD283" s="177"/>
    </row>
    <row r="284" spans="28:56" ht="11.5" customHeight="1" x14ac:dyDescent="0.35">
      <c r="AB284" s="177"/>
      <c r="AC284" s="177"/>
      <c r="AD284" s="177"/>
      <c r="AE284" s="177"/>
      <c r="AF284" s="177"/>
      <c r="AG284" s="177"/>
      <c r="AH284" s="177"/>
      <c r="AI284" s="177"/>
      <c r="AJ284" s="177"/>
      <c r="AK284" s="177"/>
      <c r="AL284" s="177"/>
      <c r="AM284" s="177"/>
      <c r="AN284" s="177"/>
      <c r="AO284" s="177"/>
      <c r="AP284" s="177"/>
      <c r="AQ284" s="177"/>
      <c r="AR284" s="177"/>
      <c r="AS284" s="177"/>
      <c r="AT284" s="177"/>
      <c r="AU284" s="177"/>
      <c r="AV284" s="177"/>
      <c r="AW284" s="177"/>
      <c r="AX284" s="177"/>
      <c r="AY284" s="177"/>
      <c r="AZ284" s="177"/>
      <c r="BA284" s="177"/>
      <c r="BB284" s="177"/>
      <c r="BC284" s="177"/>
      <c r="BD284" s="177"/>
    </row>
  </sheetData>
  <mergeCells count="16">
    <mergeCell ref="A71:K74"/>
    <mergeCell ref="M71:V74"/>
    <mergeCell ref="X71:AG74"/>
    <mergeCell ref="A92:S118"/>
    <mergeCell ref="A119:T166"/>
    <mergeCell ref="AB146:BD284"/>
    <mergeCell ref="A1:A3"/>
    <mergeCell ref="B1:J3"/>
    <mergeCell ref="L1:T3"/>
    <mergeCell ref="V1:AE3"/>
    <mergeCell ref="AN1:BD23"/>
    <mergeCell ref="A23:T25"/>
    <mergeCell ref="W23:AE25"/>
    <mergeCell ref="AN25:BG87"/>
    <mergeCell ref="B46:T48"/>
    <mergeCell ref="W46:AF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D855-71D9-49E7-8ABC-E60F258BF505}">
  <dimension ref="A1:AP118"/>
  <sheetViews>
    <sheetView workbookViewId="0">
      <selection sqref="A1:XFD1048576"/>
    </sheetView>
  </sheetViews>
  <sheetFormatPr defaultColWidth="9" defaultRowHeight="12" customHeight="1" x14ac:dyDescent="0.35"/>
  <cols>
    <col min="4" max="4" width="13.1796875" customWidth="1"/>
    <col min="5" max="5" width="11.7265625" customWidth="1"/>
    <col min="6" max="6" width="7.1796875" customWidth="1"/>
    <col min="7" max="7" width="1.453125" customWidth="1"/>
    <col min="8" max="8" width="2" customWidth="1"/>
    <col min="13" max="13" width="4.90625" customWidth="1"/>
    <col min="14" max="14" width="1.1796875" customWidth="1"/>
    <col min="15" max="15" width="8.90625" customWidth="1"/>
    <col min="16" max="16" width="8" customWidth="1"/>
    <col min="17" max="17" width="1.1796875" customWidth="1"/>
    <col min="22" max="22" width="9" style="131"/>
    <col min="23" max="23" width="10.7265625" style="131" customWidth="1"/>
    <col min="24" max="24" width="2" style="131" customWidth="1"/>
    <col min="25" max="34" width="9" style="131"/>
  </cols>
  <sheetData>
    <row r="1" spans="1:42" ht="21" x14ac:dyDescent="0.5">
      <c r="A1" s="178" t="s">
        <v>87</v>
      </c>
      <c r="B1" s="179" t="s">
        <v>88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</row>
    <row r="2" spans="1:42" ht="14.5" customHeight="1" x14ac:dyDescent="0.35">
      <c r="A2" s="180" t="s">
        <v>86</v>
      </c>
      <c r="B2" s="180"/>
      <c r="C2" s="180"/>
      <c r="D2" s="180"/>
      <c r="E2" s="180"/>
      <c r="F2" s="180"/>
      <c r="G2" s="181"/>
      <c r="H2" s="182" t="s">
        <v>31</v>
      </c>
      <c r="I2" s="182"/>
      <c r="J2" s="182"/>
      <c r="K2" s="182"/>
      <c r="L2" s="182"/>
      <c r="M2" s="182"/>
      <c r="N2" s="131"/>
      <c r="O2" s="183" t="s">
        <v>33</v>
      </c>
      <c r="P2" s="183"/>
      <c r="Q2" s="183"/>
      <c r="R2" s="183"/>
      <c r="S2" s="183"/>
      <c r="T2" s="183"/>
      <c r="U2" s="183"/>
      <c r="V2" s="183"/>
      <c r="W2" s="183"/>
    </row>
    <row r="3" spans="1:42" ht="14.5" x14ac:dyDescent="0.35">
      <c r="A3" s="184"/>
      <c r="B3" s="184"/>
      <c r="C3" s="184"/>
      <c r="D3" s="184"/>
      <c r="E3" s="184"/>
      <c r="F3" s="184"/>
      <c r="G3" s="185"/>
      <c r="H3" s="184"/>
      <c r="I3" s="184"/>
      <c r="J3" s="184"/>
      <c r="K3" s="184"/>
      <c r="L3" s="184"/>
      <c r="M3" s="184"/>
      <c r="N3" s="131"/>
      <c r="O3" s="186"/>
      <c r="P3" s="186"/>
      <c r="Q3" s="186"/>
      <c r="R3" s="186"/>
      <c r="S3" s="186"/>
      <c r="T3" s="186"/>
      <c r="U3" s="186"/>
      <c r="V3" s="186"/>
      <c r="W3" s="186"/>
    </row>
    <row r="4" spans="1:42" s="131" customFormat="1" ht="12" customHeight="1" x14ac:dyDescent="0.35">
      <c r="AI4"/>
      <c r="AJ4"/>
      <c r="AK4"/>
      <c r="AL4"/>
      <c r="AM4"/>
      <c r="AN4"/>
      <c r="AO4"/>
      <c r="AP4"/>
    </row>
    <row r="5" spans="1:42" s="131" customFormat="1" ht="12" customHeight="1" x14ac:dyDescent="0.35">
      <c r="AI5"/>
      <c r="AJ5"/>
      <c r="AK5"/>
      <c r="AL5"/>
      <c r="AM5"/>
      <c r="AN5"/>
      <c r="AO5"/>
      <c r="AP5"/>
    </row>
    <row r="6" spans="1:42" s="131" customFormat="1" ht="12" customHeight="1" x14ac:dyDescent="0.35">
      <c r="AI6"/>
      <c r="AJ6"/>
      <c r="AK6"/>
      <c r="AL6"/>
      <c r="AM6"/>
      <c r="AN6"/>
      <c r="AO6"/>
      <c r="AP6"/>
    </row>
    <row r="7" spans="1:42" s="131" customFormat="1" ht="12" customHeight="1" x14ac:dyDescent="0.35">
      <c r="AI7"/>
      <c r="AJ7"/>
      <c r="AK7"/>
      <c r="AL7"/>
      <c r="AM7"/>
      <c r="AN7"/>
      <c r="AO7"/>
      <c r="AP7"/>
    </row>
    <row r="8" spans="1:42" s="131" customFormat="1" ht="12" customHeight="1" x14ac:dyDescent="0.35">
      <c r="AI8"/>
      <c r="AJ8"/>
      <c r="AK8"/>
      <c r="AL8"/>
      <c r="AM8"/>
      <c r="AN8"/>
      <c r="AO8"/>
      <c r="AP8"/>
    </row>
    <row r="9" spans="1:42" s="131" customFormat="1" ht="12" customHeight="1" x14ac:dyDescent="0.35">
      <c r="AI9"/>
      <c r="AJ9"/>
      <c r="AK9"/>
      <c r="AL9"/>
      <c r="AM9"/>
      <c r="AN9"/>
      <c r="AO9"/>
      <c r="AP9"/>
    </row>
    <row r="10" spans="1:42" s="131" customFormat="1" ht="12" customHeight="1" x14ac:dyDescent="0.35">
      <c r="AI10"/>
      <c r="AJ10"/>
      <c r="AK10"/>
      <c r="AL10"/>
      <c r="AM10"/>
      <c r="AN10"/>
      <c r="AO10"/>
      <c r="AP10"/>
    </row>
    <row r="11" spans="1:42" s="131" customFormat="1" ht="12" customHeight="1" x14ac:dyDescent="0.35">
      <c r="AI11"/>
      <c r="AJ11"/>
      <c r="AK11"/>
      <c r="AL11"/>
      <c r="AM11"/>
      <c r="AN11"/>
      <c r="AO11"/>
      <c r="AP11"/>
    </row>
    <row r="12" spans="1:42" s="131" customFormat="1" ht="12" customHeight="1" x14ac:dyDescent="0.35">
      <c r="AI12"/>
      <c r="AJ12"/>
      <c r="AK12"/>
      <c r="AL12"/>
      <c r="AM12"/>
      <c r="AN12"/>
      <c r="AO12"/>
      <c r="AP12"/>
    </row>
    <row r="13" spans="1:42" s="131" customFormat="1" ht="12" customHeight="1" x14ac:dyDescent="0.35">
      <c r="AI13"/>
      <c r="AJ13"/>
      <c r="AK13"/>
      <c r="AL13"/>
      <c r="AM13"/>
      <c r="AN13"/>
      <c r="AO13"/>
      <c r="AP13"/>
    </row>
    <row r="14" spans="1:42" s="131" customFormat="1" ht="12" customHeight="1" x14ac:dyDescent="0.35">
      <c r="AI14"/>
      <c r="AJ14"/>
      <c r="AK14"/>
      <c r="AL14"/>
      <c r="AM14"/>
      <c r="AN14"/>
      <c r="AO14"/>
      <c r="AP14"/>
    </row>
    <row r="15" spans="1:42" s="131" customFormat="1" ht="12" customHeight="1" x14ac:dyDescent="0.35">
      <c r="AI15"/>
      <c r="AJ15"/>
      <c r="AK15"/>
      <c r="AL15"/>
      <c r="AM15"/>
      <c r="AN15"/>
      <c r="AO15"/>
      <c r="AP15"/>
    </row>
    <row r="16" spans="1:42" s="131" customFormat="1" ht="12" customHeight="1" x14ac:dyDescent="0.35">
      <c r="AI16"/>
      <c r="AJ16"/>
      <c r="AK16"/>
      <c r="AL16"/>
      <c r="AM16"/>
      <c r="AN16"/>
      <c r="AO16"/>
      <c r="AP16"/>
    </row>
    <row r="17" spans="1:42" s="131" customFormat="1" ht="17" customHeight="1" x14ac:dyDescent="0.35">
      <c r="A17" s="183" t="s">
        <v>40</v>
      </c>
      <c r="B17" s="183"/>
      <c r="C17" s="183"/>
      <c r="D17" s="183"/>
      <c r="E17" s="183"/>
      <c r="F17" s="183"/>
      <c r="H17" s="183" t="s">
        <v>45</v>
      </c>
      <c r="I17" s="183"/>
      <c r="J17" s="183"/>
      <c r="K17" s="183"/>
      <c r="L17" s="183"/>
      <c r="M17" s="183"/>
      <c r="O17" s="183" t="s">
        <v>49</v>
      </c>
      <c r="P17" s="183"/>
      <c r="Q17" s="183"/>
      <c r="R17" s="183"/>
      <c r="S17" s="183"/>
      <c r="T17" s="183"/>
      <c r="U17" s="183"/>
      <c r="V17" s="183"/>
      <c r="W17" s="183"/>
      <c r="AI17"/>
      <c r="AJ17"/>
      <c r="AK17"/>
      <c r="AL17"/>
      <c r="AM17"/>
      <c r="AN17"/>
      <c r="AO17"/>
      <c r="AP17"/>
    </row>
    <row r="18" spans="1:42" s="131" customFormat="1" ht="15.5" customHeight="1" x14ac:dyDescent="0.35">
      <c r="A18" s="183"/>
      <c r="B18" s="183"/>
      <c r="C18" s="183"/>
      <c r="D18" s="183"/>
      <c r="E18" s="183"/>
      <c r="F18" s="183"/>
      <c r="H18" s="183"/>
      <c r="I18" s="183"/>
      <c r="J18" s="183"/>
      <c r="K18" s="183"/>
      <c r="L18" s="183"/>
      <c r="M18" s="183"/>
      <c r="O18" s="183"/>
      <c r="P18" s="183"/>
      <c r="Q18" s="183"/>
      <c r="R18" s="183"/>
      <c r="S18" s="183"/>
      <c r="T18" s="183"/>
      <c r="U18" s="183"/>
      <c r="V18" s="183"/>
      <c r="W18" s="183"/>
      <c r="AI18"/>
      <c r="AJ18"/>
      <c r="AK18"/>
      <c r="AL18"/>
      <c r="AM18"/>
      <c r="AN18"/>
      <c r="AO18"/>
      <c r="AP18"/>
    </row>
    <row r="19" spans="1:42" s="131" customFormat="1" ht="14.5" customHeight="1" x14ac:dyDescent="0.35">
      <c r="A19" s="186"/>
      <c r="B19" s="186"/>
      <c r="C19" s="186"/>
      <c r="D19" s="186"/>
      <c r="E19" s="186"/>
      <c r="F19" s="186"/>
      <c r="H19" s="186"/>
      <c r="I19" s="186"/>
      <c r="J19" s="186"/>
      <c r="K19" s="186"/>
      <c r="L19" s="186"/>
      <c r="M19" s="186"/>
      <c r="O19" s="186"/>
      <c r="P19" s="186"/>
      <c r="Q19" s="186"/>
      <c r="R19" s="186"/>
      <c r="S19" s="186"/>
      <c r="T19" s="186"/>
      <c r="U19" s="186"/>
      <c r="V19" s="186"/>
      <c r="W19" s="186"/>
      <c r="AI19"/>
      <c r="AJ19"/>
      <c r="AK19"/>
      <c r="AL19"/>
      <c r="AM19"/>
      <c r="AN19"/>
      <c r="AO19"/>
      <c r="AP19"/>
    </row>
    <row r="20" spans="1:42" s="131" customFormat="1" ht="12" customHeight="1" x14ac:dyDescent="0.35">
      <c r="AI20"/>
      <c r="AJ20"/>
      <c r="AK20"/>
      <c r="AL20"/>
      <c r="AM20"/>
      <c r="AN20"/>
      <c r="AO20"/>
      <c r="AP20"/>
    </row>
    <row r="21" spans="1:42" s="131" customFormat="1" ht="12" customHeight="1" x14ac:dyDescent="0.35">
      <c r="AI21"/>
      <c r="AJ21"/>
      <c r="AK21"/>
      <c r="AL21"/>
      <c r="AM21"/>
      <c r="AN21"/>
      <c r="AO21"/>
      <c r="AP21"/>
    </row>
    <row r="22" spans="1:42" s="131" customFormat="1" ht="12" customHeight="1" x14ac:dyDescent="0.35">
      <c r="AI22"/>
      <c r="AJ22"/>
      <c r="AK22"/>
      <c r="AL22"/>
      <c r="AM22"/>
      <c r="AN22"/>
      <c r="AO22"/>
      <c r="AP22"/>
    </row>
    <row r="23" spans="1:42" s="131" customFormat="1" ht="12" customHeight="1" x14ac:dyDescent="0.35">
      <c r="AI23"/>
      <c r="AJ23"/>
      <c r="AK23"/>
      <c r="AL23"/>
      <c r="AM23"/>
      <c r="AN23"/>
      <c r="AO23"/>
      <c r="AP23"/>
    </row>
    <row r="24" spans="1:42" s="131" customFormat="1" ht="12" customHeight="1" x14ac:dyDescent="0.35">
      <c r="AI24"/>
      <c r="AJ24"/>
      <c r="AK24"/>
      <c r="AL24"/>
      <c r="AM24"/>
      <c r="AN24"/>
      <c r="AO24"/>
      <c r="AP24"/>
    </row>
    <row r="25" spans="1:42" s="131" customFormat="1" ht="12" customHeight="1" x14ac:dyDescent="0.35">
      <c r="AI25"/>
      <c r="AJ25"/>
      <c r="AK25"/>
      <c r="AL25"/>
      <c r="AM25"/>
      <c r="AN25"/>
      <c r="AO25"/>
      <c r="AP25"/>
    </row>
    <row r="26" spans="1:42" s="131" customFormat="1" ht="12" customHeight="1" x14ac:dyDescent="0.35">
      <c r="AI26"/>
      <c r="AJ26"/>
      <c r="AK26"/>
      <c r="AL26"/>
      <c r="AM26"/>
      <c r="AN26"/>
      <c r="AO26"/>
      <c r="AP26"/>
    </row>
    <row r="27" spans="1:42" s="131" customFormat="1" ht="12" customHeight="1" x14ac:dyDescent="0.35">
      <c r="AI27"/>
      <c r="AJ27"/>
      <c r="AK27"/>
      <c r="AL27"/>
      <c r="AM27"/>
      <c r="AN27"/>
      <c r="AO27"/>
      <c r="AP27"/>
    </row>
    <row r="28" spans="1:42" s="131" customFormat="1" ht="12" customHeight="1" x14ac:dyDescent="0.35">
      <c r="AI28"/>
      <c r="AJ28"/>
      <c r="AK28"/>
      <c r="AL28"/>
      <c r="AM28"/>
      <c r="AN28"/>
      <c r="AO28"/>
      <c r="AP28"/>
    </row>
    <row r="29" spans="1:42" s="131" customFormat="1" ht="12" customHeight="1" x14ac:dyDescent="0.35">
      <c r="AI29"/>
      <c r="AJ29"/>
      <c r="AK29"/>
      <c r="AL29"/>
      <c r="AM29"/>
      <c r="AN29"/>
      <c r="AO29"/>
      <c r="AP29"/>
    </row>
    <row r="30" spans="1:42" s="131" customFormat="1" ht="12" customHeight="1" x14ac:dyDescent="0.35">
      <c r="AI30"/>
      <c r="AJ30"/>
      <c r="AK30"/>
      <c r="AL30"/>
      <c r="AM30"/>
      <c r="AN30"/>
      <c r="AO30"/>
      <c r="AP30"/>
    </row>
    <row r="31" spans="1:42" s="131" customFormat="1" ht="12" customHeight="1" x14ac:dyDescent="0.35">
      <c r="AI31"/>
      <c r="AJ31"/>
      <c r="AK31"/>
      <c r="AL31"/>
      <c r="AM31"/>
      <c r="AN31"/>
      <c r="AO31"/>
      <c r="AP31"/>
    </row>
    <row r="32" spans="1:42" s="131" customFormat="1" ht="12" customHeight="1" x14ac:dyDescent="0.35">
      <c r="AI32"/>
      <c r="AJ32"/>
      <c r="AK32"/>
      <c r="AL32"/>
      <c r="AM32"/>
      <c r="AN32"/>
      <c r="AO32"/>
      <c r="AP32"/>
    </row>
    <row r="33" spans="1:42" s="131" customFormat="1" ht="12" customHeight="1" x14ac:dyDescent="0.35">
      <c r="AI33"/>
      <c r="AJ33"/>
      <c r="AK33"/>
      <c r="AL33"/>
      <c r="AM33"/>
      <c r="AN33"/>
      <c r="AO33"/>
      <c r="AP33"/>
    </row>
    <row r="34" spans="1:42" s="131" customFormat="1" ht="12" customHeight="1" x14ac:dyDescent="0.35">
      <c r="AI34"/>
      <c r="AJ34"/>
      <c r="AK34"/>
      <c r="AL34"/>
      <c r="AM34"/>
      <c r="AN34"/>
      <c r="AO34"/>
      <c r="AP34"/>
    </row>
    <row r="35" spans="1:42" s="131" customFormat="1" ht="14.5" x14ac:dyDescent="0.35">
      <c r="A35" s="183" t="s">
        <v>59</v>
      </c>
      <c r="B35" s="183"/>
      <c r="C35" s="183"/>
      <c r="D35" s="183"/>
      <c r="E35" s="183"/>
      <c r="F35" s="183"/>
      <c r="H35" s="180" t="s">
        <v>67</v>
      </c>
      <c r="I35" s="180"/>
      <c r="J35" s="180"/>
      <c r="K35" s="180"/>
      <c r="L35" s="180"/>
      <c r="M35" s="180"/>
      <c r="N35" s="180"/>
      <c r="O35" s="180"/>
      <c r="P35" s="180"/>
      <c r="R35" s="180" t="s">
        <v>72</v>
      </c>
      <c r="S35" s="180"/>
      <c r="T35" s="180"/>
      <c r="U35" s="180"/>
      <c r="V35" s="180"/>
      <c r="W35" s="180"/>
      <c r="X35" s="180"/>
      <c r="AI35"/>
      <c r="AJ35"/>
      <c r="AK35"/>
      <c r="AL35"/>
      <c r="AM35"/>
      <c r="AN35"/>
      <c r="AO35"/>
      <c r="AP35"/>
    </row>
    <row r="36" spans="1:42" s="131" customFormat="1" ht="14.5" x14ac:dyDescent="0.35">
      <c r="A36" s="183"/>
      <c r="B36" s="183"/>
      <c r="C36" s="183"/>
      <c r="D36" s="183"/>
      <c r="E36" s="183"/>
      <c r="F36" s="183"/>
      <c r="H36" s="180"/>
      <c r="I36" s="180"/>
      <c r="J36" s="180"/>
      <c r="K36" s="180"/>
      <c r="L36" s="180"/>
      <c r="M36" s="180"/>
      <c r="N36" s="180"/>
      <c r="O36" s="180"/>
      <c r="P36" s="180"/>
      <c r="R36" s="180"/>
      <c r="S36" s="180"/>
      <c r="T36" s="180"/>
      <c r="U36" s="180"/>
      <c r="V36" s="180"/>
      <c r="W36" s="180"/>
      <c r="X36" s="180"/>
      <c r="AI36"/>
      <c r="AJ36"/>
      <c r="AK36"/>
      <c r="AL36"/>
      <c r="AM36"/>
      <c r="AN36"/>
      <c r="AO36"/>
      <c r="AP36"/>
    </row>
    <row r="37" spans="1:42" s="131" customFormat="1" ht="14.5" x14ac:dyDescent="0.35">
      <c r="A37" s="186"/>
      <c r="B37" s="186"/>
      <c r="C37" s="186"/>
      <c r="D37" s="186"/>
      <c r="E37" s="186"/>
      <c r="F37" s="186"/>
      <c r="H37" s="184"/>
      <c r="I37" s="184"/>
      <c r="J37" s="184"/>
      <c r="K37" s="184"/>
      <c r="L37" s="184"/>
      <c r="M37" s="184"/>
      <c r="N37" s="184"/>
      <c r="O37" s="184"/>
      <c r="P37" s="184"/>
      <c r="R37" s="184"/>
      <c r="S37" s="184"/>
      <c r="T37" s="184"/>
      <c r="U37" s="184"/>
      <c r="V37" s="184"/>
      <c r="W37" s="184"/>
      <c r="X37" s="184"/>
    </row>
    <row r="38" spans="1:42" s="131" customFormat="1" ht="12" customHeight="1" x14ac:dyDescent="0.35"/>
    <row r="39" spans="1:42" s="131" customFormat="1" ht="12" customHeight="1" x14ac:dyDescent="0.35"/>
    <row r="40" spans="1:42" s="131" customFormat="1" ht="12" customHeight="1" x14ac:dyDescent="0.35"/>
    <row r="41" spans="1:42" s="131" customFormat="1" ht="12" customHeight="1" x14ac:dyDescent="0.35"/>
    <row r="42" spans="1:42" s="131" customFormat="1" ht="12" customHeight="1" x14ac:dyDescent="0.35"/>
    <row r="43" spans="1:42" s="131" customFormat="1" ht="12" customHeight="1" x14ac:dyDescent="0.35"/>
    <row r="44" spans="1:42" s="131" customFormat="1" ht="12" customHeight="1" x14ac:dyDescent="0.35"/>
    <row r="45" spans="1:42" s="131" customFormat="1" ht="12" customHeight="1" x14ac:dyDescent="0.35"/>
    <row r="46" spans="1:42" s="131" customFormat="1" ht="12" customHeight="1" x14ac:dyDescent="0.35"/>
    <row r="47" spans="1:42" s="131" customFormat="1" ht="12" customHeight="1" x14ac:dyDescent="0.35"/>
    <row r="48" spans="1:42" s="131" customFormat="1" ht="12" customHeight="1" x14ac:dyDescent="0.35"/>
    <row r="49" spans="1:24" s="131" customFormat="1" ht="12" customHeight="1" x14ac:dyDescent="0.35"/>
    <row r="50" spans="1:24" s="131" customFormat="1" ht="12" customHeight="1" x14ac:dyDescent="0.35"/>
    <row r="51" spans="1:24" s="131" customFormat="1" ht="12" customHeight="1" x14ac:dyDescent="0.35"/>
    <row r="52" spans="1:24" s="131" customFormat="1" ht="12" customHeight="1" x14ac:dyDescent="0.35"/>
    <row r="53" spans="1:24" s="131" customFormat="1" ht="12" customHeight="1" x14ac:dyDescent="0.35"/>
    <row r="54" spans="1:24" s="131" customFormat="1" ht="12" customHeight="1" x14ac:dyDescent="0.35"/>
    <row r="55" spans="1:24" s="131" customFormat="1" ht="12" customHeight="1" x14ac:dyDescent="0.35">
      <c r="A55" s="187" t="s">
        <v>80</v>
      </c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</row>
    <row r="56" spans="1:24" s="131" customFormat="1" ht="12" customHeight="1" x14ac:dyDescent="0.35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</row>
    <row r="57" spans="1:24" s="131" customFormat="1" ht="12" customHeight="1" x14ac:dyDescent="0.35"/>
    <row r="58" spans="1:24" s="131" customFormat="1" ht="12" customHeight="1" x14ac:dyDescent="0.35"/>
    <row r="59" spans="1:24" s="131" customFormat="1" ht="12" customHeight="1" x14ac:dyDescent="0.35"/>
    <row r="60" spans="1:24" s="131" customFormat="1" ht="12" customHeight="1" x14ac:dyDescent="0.35"/>
    <row r="61" spans="1:24" s="131" customFormat="1" ht="12" customHeight="1" x14ac:dyDescent="0.35"/>
    <row r="62" spans="1:24" s="131" customFormat="1" ht="12" customHeight="1" x14ac:dyDescent="0.35"/>
    <row r="63" spans="1:24" s="131" customFormat="1" ht="12" customHeight="1" x14ac:dyDescent="0.35"/>
    <row r="64" spans="1:24" s="131" customFormat="1" ht="12" customHeight="1" x14ac:dyDescent="0.35"/>
    <row r="65" s="131" customFormat="1" ht="12" customHeight="1" x14ac:dyDescent="0.35"/>
    <row r="66" s="131" customFormat="1" ht="12" customHeight="1" x14ac:dyDescent="0.35"/>
    <row r="67" s="131" customFormat="1" ht="12" customHeight="1" x14ac:dyDescent="0.35"/>
    <row r="68" s="131" customFormat="1" ht="12" customHeight="1" x14ac:dyDescent="0.35"/>
    <row r="69" s="131" customFormat="1" ht="12" customHeight="1" x14ac:dyDescent="0.35"/>
    <row r="70" s="131" customFormat="1" ht="12" customHeight="1" x14ac:dyDescent="0.35"/>
    <row r="71" s="131" customFormat="1" ht="12" customHeight="1" x14ac:dyDescent="0.35"/>
    <row r="72" s="131" customFormat="1" ht="12" customHeight="1" x14ac:dyDescent="0.35"/>
    <row r="73" s="131" customFormat="1" ht="12" customHeight="1" x14ac:dyDescent="0.35"/>
    <row r="74" s="131" customFormat="1" ht="12" customHeight="1" x14ac:dyDescent="0.35"/>
    <row r="75" s="131" customFormat="1" ht="12" customHeight="1" x14ac:dyDescent="0.35"/>
    <row r="76" s="131" customFormat="1" ht="12" customHeight="1" x14ac:dyDescent="0.35"/>
    <row r="77" s="131" customFormat="1" ht="12" customHeight="1" x14ac:dyDescent="0.35"/>
    <row r="78" s="131" customFormat="1" ht="12" customHeight="1" x14ac:dyDescent="0.35"/>
    <row r="79" s="131" customFormat="1" ht="12" customHeight="1" x14ac:dyDescent="0.35"/>
    <row r="80" s="131" customFormat="1" ht="12" customHeight="1" x14ac:dyDescent="0.35"/>
    <row r="81" s="131" customFormat="1" ht="12" customHeight="1" x14ac:dyDescent="0.35"/>
    <row r="82" s="131" customFormat="1" ht="12" customHeight="1" x14ac:dyDescent="0.35"/>
    <row r="83" s="131" customFormat="1" ht="12" customHeight="1" x14ac:dyDescent="0.35"/>
    <row r="84" s="131" customFormat="1" ht="12" customHeight="1" x14ac:dyDescent="0.35"/>
    <row r="85" s="131" customFormat="1" ht="12" customHeight="1" x14ac:dyDescent="0.35"/>
    <row r="86" s="131" customFormat="1" ht="12" customHeight="1" x14ac:dyDescent="0.35"/>
    <row r="87" s="131" customFormat="1" ht="12" customHeight="1" x14ac:dyDescent="0.35"/>
    <row r="88" s="131" customFormat="1" ht="12" customHeight="1" x14ac:dyDescent="0.35"/>
    <row r="89" s="131" customFormat="1" ht="12" customHeight="1" x14ac:dyDescent="0.35"/>
    <row r="90" s="131" customFormat="1" ht="12" customHeight="1" x14ac:dyDescent="0.35"/>
    <row r="91" s="131" customFormat="1" ht="12" customHeight="1" x14ac:dyDescent="0.35"/>
    <row r="92" s="131" customFormat="1" ht="12" customHeight="1" x14ac:dyDescent="0.35"/>
    <row r="93" s="131" customFormat="1" ht="12" customHeight="1" x14ac:dyDescent="0.35"/>
    <row r="94" s="131" customFormat="1" ht="12" customHeight="1" x14ac:dyDescent="0.35"/>
    <row r="95" s="131" customFormat="1" ht="12" customHeight="1" x14ac:dyDescent="0.35"/>
    <row r="96" s="131" customFormat="1" ht="12" customHeight="1" x14ac:dyDescent="0.35"/>
    <row r="97" s="131" customFormat="1" ht="12" customHeight="1" x14ac:dyDescent="0.35"/>
    <row r="98" s="131" customFormat="1" ht="12" customHeight="1" x14ac:dyDescent="0.35"/>
    <row r="99" s="131" customFormat="1" ht="12" customHeight="1" x14ac:dyDescent="0.35"/>
    <row r="100" s="131" customFormat="1" ht="12" customHeight="1" x14ac:dyDescent="0.35"/>
    <row r="101" s="131" customFormat="1" ht="12" customHeight="1" x14ac:dyDescent="0.35"/>
    <row r="102" s="131" customFormat="1" ht="12" customHeight="1" x14ac:dyDescent="0.35"/>
    <row r="103" s="131" customFormat="1" ht="12" customHeight="1" x14ac:dyDescent="0.35"/>
    <row r="104" s="131" customFormat="1" ht="12" customHeight="1" x14ac:dyDescent="0.35"/>
    <row r="105" s="131" customFormat="1" ht="12" customHeight="1" x14ac:dyDescent="0.35"/>
    <row r="106" s="131" customFormat="1" ht="12" customHeight="1" x14ac:dyDescent="0.35"/>
    <row r="107" s="131" customFormat="1" ht="12" customHeight="1" x14ac:dyDescent="0.35"/>
    <row r="108" s="131" customFormat="1" ht="12" customHeight="1" x14ac:dyDescent="0.35"/>
    <row r="109" s="131" customFormat="1" ht="12" customHeight="1" x14ac:dyDescent="0.35"/>
    <row r="110" s="131" customFormat="1" ht="12" customHeight="1" x14ac:dyDescent="0.35"/>
    <row r="111" s="131" customFormat="1" ht="12" customHeight="1" x14ac:dyDescent="0.35"/>
    <row r="112" s="131" customFormat="1" ht="12" customHeight="1" x14ac:dyDescent="0.35"/>
    <row r="113" spans="14:42" s="131" customFormat="1" ht="12" customHeight="1" x14ac:dyDescent="0.35">
      <c r="N113"/>
      <c r="O113"/>
      <c r="P113"/>
      <c r="Q113"/>
      <c r="R113"/>
      <c r="S113"/>
      <c r="T113"/>
      <c r="U113"/>
      <c r="AI113"/>
      <c r="AJ113"/>
      <c r="AK113"/>
      <c r="AL113"/>
      <c r="AM113"/>
      <c r="AN113"/>
      <c r="AO113"/>
      <c r="AP113"/>
    </row>
    <row r="114" spans="14:42" s="131" customFormat="1" ht="12" customHeight="1" x14ac:dyDescent="0.35">
      <c r="N114"/>
      <c r="O114"/>
      <c r="P114"/>
      <c r="Q114"/>
      <c r="R114"/>
      <c r="S114"/>
      <c r="T114"/>
      <c r="U114"/>
      <c r="AI114"/>
      <c r="AJ114"/>
      <c r="AK114"/>
      <c r="AL114"/>
      <c r="AM114"/>
      <c r="AN114"/>
      <c r="AO114"/>
      <c r="AP114"/>
    </row>
    <row r="115" spans="14:42" s="131" customFormat="1" ht="12" customHeight="1" x14ac:dyDescent="0.35">
      <c r="N115"/>
      <c r="O115"/>
      <c r="P115"/>
      <c r="Q115"/>
      <c r="R115"/>
      <c r="S115"/>
      <c r="T115"/>
      <c r="U115"/>
      <c r="AI115"/>
      <c r="AJ115"/>
      <c r="AK115"/>
      <c r="AL115"/>
      <c r="AM115"/>
      <c r="AN115"/>
      <c r="AO115"/>
      <c r="AP115"/>
    </row>
    <row r="116" spans="14:42" s="131" customFormat="1" ht="12" customHeight="1" x14ac:dyDescent="0.35">
      <c r="N116"/>
      <c r="O116"/>
      <c r="P116"/>
      <c r="Q116"/>
      <c r="R116"/>
      <c r="S116"/>
      <c r="T116"/>
      <c r="U116"/>
      <c r="AI116"/>
      <c r="AJ116"/>
      <c r="AK116"/>
      <c r="AL116"/>
      <c r="AM116"/>
      <c r="AN116"/>
      <c r="AO116"/>
      <c r="AP116"/>
    </row>
    <row r="117" spans="14:42" s="131" customFormat="1" ht="12" customHeight="1" x14ac:dyDescent="0.35">
      <c r="N117"/>
      <c r="O117"/>
      <c r="P117"/>
      <c r="Q117"/>
      <c r="R117"/>
      <c r="S117"/>
      <c r="T117"/>
      <c r="U117"/>
      <c r="AI117"/>
      <c r="AJ117"/>
      <c r="AK117"/>
      <c r="AL117"/>
      <c r="AM117"/>
      <c r="AN117"/>
      <c r="AO117"/>
      <c r="AP117"/>
    </row>
    <row r="118" spans="14:42" s="131" customFormat="1" ht="12" customHeight="1" x14ac:dyDescent="0.35">
      <c r="N118"/>
      <c r="O118"/>
      <c r="P118"/>
      <c r="Q118"/>
      <c r="R118"/>
      <c r="S118"/>
      <c r="T118"/>
      <c r="U118"/>
      <c r="AI118"/>
      <c r="AJ118"/>
      <c r="AK118"/>
      <c r="AL118"/>
      <c r="AM118"/>
      <c r="AN118"/>
      <c r="AO118"/>
      <c r="AP118"/>
    </row>
  </sheetData>
  <mergeCells count="12">
    <mergeCell ref="A35:F37"/>
    <mergeCell ref="H35:P37"/>
    <mergeCell ref="R35:X37"/>
    <mergeCell ref="A55:X56"/>
    <mergeCell ref="B1:T1"/>
    <mergeCell ref="A2:F3"/>
    <mergeCell ref="G2:G3"/>
    <mergeCell ref="H2:M3"/>
    <mergeCell ref="O2:W3"/>
    <mergeCell ref="A17:F19"/>
    <mergeCell ref="H17:M19"/>
    <mergeCell ref="O17:W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08CB-87EA-4CFF-BF2B-ED5BA889760E}">
  <dimension ref="A1:AQ94"/>
  <sheetViews>
    <sheetView tabSelected="1" workbookViewId="0">
      <selection sqref="A1:XFD1048576"/>
    </sheetView>
  </sheetViews>
  <sheetFormatPr defaultColWidth="6.54296875" defaultRowHeight="11.5" customHeight="1" x14ac:dyDescent="0.35"/>
  <cols>
    <col min="1" max="1" width="4.26953125" customWidth="1"/>
    <col min="10" max="10" width="6.36328125" customWidth="1"/>
    <col min="11" max="11" width="4.36328125" customWidth="1"/>
    <col min="12" max="12" width="2" style="131" customWidth="1"/>
    <col min="14" max="14" width="6.54296875" style="131"/>
    <col min="19" max="19" width="3.90625" customWidth="1"/>
    <col min="20" max="20" width="1.54296875" style="131" customWidth="1"/>
    <col min="21" max="22" width="6.54296875" style="131"/>
    <col min="23" max="23" width="6.36328125" customWidth="1"/>
    <col min="32" max="32" width="1.54296875" style="131" customWidth="1"/>
    <col min="33" max="33" width="2.1796875" customWidth="1"/>
    <col min="42" max="42" width="8" customWidth="1"/>
    <col min="43" max="43" width="4.81640625" customWidth="1"/>
  </cols>
  <sheetData>
    <row r="1" spans="1:43" ht="11.5" customHeight="1" x14ac:dyDescent="0.35">
      <c r="A1" s="189" t="s">
        <v>6</v>
      </c>
      <c r="B1" s="190" t="s">
        <v>86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32"/>
      <c r="U1" s="126" t="s">
        <v>37</v>
      </c>
      <c r="V1" s="126"/>
      <c r="W1" s="126"/>
      <c r="X1" s="126"/>
      <c r="Y1" s="126"/>
      <c r="Z1" s="126"/>
      <c r="AA1" s="126"/>
      <c r="AB1" s="126"/>
      <c r="AC1" s="126"/>
      <c r="AD1" s="126"/>
      <c r="AE1" s="191"/>
      <c r="AF1" s="127"/>
      <c r="AG1" s="129"/>
      <c r="AH1" s="192" t="s">
        <v>55</v>
      </c>
      <c r="AI1" s="192"/>
      <c r="AJ1" s="192"/>
      <c r="AK1" s="192"/>
      <c r="AL1" s="192"/>
      <c r="AM1" s="192"/>
      <c r="AN1" s="192"/>
      <c r="AO1" s="192"/>
      <c r="AP1" s="192"/>
      <c r="AQ1" s="143"/>
    </row>
    <row r="2" spans="1:43" ht="11.5" customHeight="1" x14ac:dyDescent="0.35">
      <c r="A2" s="189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32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91"/>
      <c r="AF2" s="127"/>
      <c r="AG2" s="129"/>
      <c r="AH2" s="192"/>
      <c r="AI2" s="192"/>
      <c r="AJ2" s="192"/>
      <c r="AK2" s="192"/>
      <c r="AL2" s="192"/>
      <c r="AM2" s="192"/>
      <c r="AN2" s="192"/>
      <c r="AO2" s="192"/>
      <c r="AP2" s="192"/>
      <c r="AQ2" s="143"/>
    </row>
    <row r="3" spans="1:43" ht="11.5" customHeight="1" x14ac:dyDescent="0.35">
      <c r="A3" s="189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2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91"/>
      <c r="AF3" s="127"/>
      <c r="AG3" s="129"/>
      <c r="AH3" s="192"/>
      <c r="AI3" s="192"/>
      <c r="AJ3" s="192"/>
      <c r="AK3" s="192"/>
      <c r="AL3" s="192"/>
      <c r="AM3" s="192"/>
      <c r="AN3" s="192"/>
      <c r="AO3" s="192"/>
      <c r="AP3" s="192"/>
      <c r="AQ3" s="143"/>
    </row>
    <row r="4" spans="1:43" ht="11.5" customHeight="1" x14ac:dyDescent="0.35">
      <c r="A4" s="136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42"/>
      <c r="S4" s="142"/>
      <c r="T4" s="132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91"/>
      <c r="AF4" s="127"/>
      <c r="AG4" s="129"/>
      <c r="AH4" s="192"/>
      <c r="AI4" s="192"/>
      <c r="AJ4" s="192"/>
      <c r="AK4" s="192"/>
      <c r="AL4" s="192"/>
      <c r="AM4" s="192"/>
      <c r="AN4" s="192"/>
      <c r="AO4" s="192"/>
      <c r="AP4" s="192"/>
      <c r="AQ4" s="143"/>
    </row>
    <row r="5" spans="1:43" ht="11.5" customHeight="1" x14ac:dyDescent="0.35">
      <c r="A5" s="142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42"/>
      <c r="N5" s="142"/>
      <c r="O5" s="142"/>
      <c r="P5" s="142"/>
      <c r="Q5" s="142"/>
      <c r="R5" s="142"/>
      <c r="S5" s="142"/>
      <c r="T5" s="132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G5" s="194"/>
      <c r="AH5" s="195"/>
      <c r="AI5" s="195"/>
      <c r="AJ5" s="195"/>
      <c r="AK5" s="195"/>
      <c r="AL5" s="195"/>
      <c r="AM5" s="195"/>
      <c r="AN5" s="195"/>
      <c r="AO5" s="195"/>
      <c r="AP5" s="195"/>
      <c r="AQ5" s="143"/>
    </row>
    <row r="6" spans="1:43" ht="11.5" customHeight="1" x14ac:dyDescent="0.3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</row>
    <row r="7" spans="1:43" ht="11.5" customHeight="1" x14ac:dyDescent="0.35">
      <c r="A7" s="142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</row>
    <row r="8" spans="1:43" ht="11.5" customHeight="1" x14ac:dyDescent="0.35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</row>
    <row r="9" spans="1:43" ht="11.5" customHeight="1" x14ac:dyDescent="0.35">
      <c r="A9" s="142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</row>
    <row r="10" spans="1:43" ht="11.5" customHeight="1" x14ac:dyDescent="0.35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</row>
    <row r="11" spans="1:43" ht="11.5" customHeight="1" x14ac:dyDescent="0.35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</row>
    <row r="12" spans="1:43" ht="11.5" customHeight="1" x14ac:dyDescent="0.35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</row>
    <row r="13" spans="1:43" ht="11.5" customHeight="1" x14ac:dyDescent="0.35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</row>
    <row r="14" spans="1:43" ht="11.5" customHeight="1" x14ac:dyDescent="0.35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</row>
    <row r="15" spans="1:43" ht="11.5" customHeight="1" x14ac:dyDescent="0.35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</row>
    <row r="16" spans="1:43" ht="11.5" customHeight="1" x14ac:dyDescent="0.35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</row>
    <row r="17" spans="1:43" ht="11.5" customHeight="1" x14ac:dyDescent="0.35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</row>
    <row r="18" spans="1:43" ht="11.5" customHeight="1" x14ac:dyDescent="0.35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</row>
    <row r="19" spans="1:43" ht="11.5" customHeight="1" x14ac:dyDescent="0.35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</row>
    <row r="20" spans="1:43" ht="11.5" customHeight="1" x14ac:dyDescent="0.35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</row>
    <row r="21" spans="1:43" ht="11.5" customHeight="1" x14ac:dyDescent="0.35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</row>
    <row r="22" spans="1:43" ht="11.5" customHeight="1" x14ac:dyDescent="0.35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</row>
    <row r="23" spans="1:43" ht="7.5" customHeight="1" x14ac:dyDescent="0.35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</row>
    <row r="24" spans="1:43" ht="11.5" customHeight="1" x14ac:dyDescent="0.35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</row>
    <row r="25" spans="1:43" s="131" customFormat="1" ht="11.5" customHeight="1" x14ac:dyDescent="0.35"/>
    <row r="26" spans="1:43" s="131" customFormat="1" ht="11.5" customHeight="1" x14ac:dyDescent="0.45">
      <c r="A26" s="154" t="s">
        <v>33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96"/>
      <c r="L26" s="197"/>
      <c r="M26" s="198" t="s">
        <v>40</v>
      </c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9"/>
      <c r="AG26" s="200" t="s">
        <v>59</v>
      </c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</row>
    <row r="27" spans="1:43" s="131" customFormat="1" ht="11.5" customHeight="1" x14ac:dyDescent="0.4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96"/>
      <c r="L27" s="197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9"/>
      <c r="AG27" s="200"/>
      <c r="AH27" s="200"/>
      <c r="AI27" s="200"/>
      <c r="AJ27" s="200"/>
      <c r="AK27" s="200"/>
      <c r="AL27" s="200"/>
      <c r="AM27" s="200"/>
      <c r="AN27" s="200"/>
      <c r="AO27" s="200"/>
      <c r="AP27" s="200"/>
      <c r="AQ27" s="200"/>
    </row>
    <row r="28" spans="1:43" s="131" customFormat="1" ht="11.5" customHeight="1" x14ac:dyDescent="0.45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96"/>
      <c r="L28" s="197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199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</row>
    <row r="29" spans="1:43" ht="11.5" customHeight="1" x14ac:dyDescent="0.35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</row>
    <row r="30" spans="1:43" ht="11.5" customHeight="1" x14ac:dyDescent="0.35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</row>
    <row r="31" spans="1:43" ht="11.5" customHeight="1" x14ac:dyDescent="0.35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</row>
    <row r="32" spans="1:43" ht="11.5" customHeight="1" x14ac:dyDescent="0.35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</row>
    <row r="33" spans="1:43" ht="11.5" customHeight="1" x14ac:dyDescent="0.3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</row>
    <row r="34" spans="1:43" ht="11.5" customHeight="1" x14ac:dyDescent="0.3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</row>
    <row r="35" spans="1:43" ht="11.5" customHeight="1" x14ac:dyDescent="0.3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</row>
    <row r="36" spans="1:43" ht="11.5" customHeight="1" x14ac:dyDescent="0.35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</row>
    <row r="37" spans="1:43" ht="11.5" customHeight="1" x14ac:dyDescent="0.35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</row>
    <row r="38" spans="1:43" ht="11.5" customHeight="1" x14ac:dyDescent="0.35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</row>
    <row r="39" spans="1:43" ht="11.5" customHeight="1" x14ac:dyDescent="0.35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</row>
    <row r="40" spans="1:43" ht="11.5" customHeight="1" x14ac:dyDescent="0.35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</row>
    <row r="41" spans="1:43" ht="11.5" customHeight="1" x14ac:dyDescent="0.35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</row>
    <row r="42" spans="1:43" ht="11.5" customHeight="1" x14ac:dyDescent="0.35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</row>
    <row r="43" spans="1:43" ht="11.5" customHeight="1" x14ac:dyDescent="0.35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</row>
    <row r="44" spans="1:43" ht="11.5" customHeight="1" x14ac:dyDescent="0.35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</row>
    <row r="45" spans="1:43" ht="11.5" customHeight="1" x14ac:dyDescent="0.35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</row>
    <row r="46" spans="1:43" ht="11.5" customHeight="1" x14ac:dyDescent="0.35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</row>
    <row r="47" spans="1:43" ht="11.5" customHeight="1" x14ac:dyDescent="0.35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</row>
    <row r="48" spans="1:43" ht="11.5" customHeight="1" x14ac:dyDescent="0.35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</row>
    <row r="49" spans="1:43" ht="8" customHeight="1" x14ac:dyDescent="0.35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</row>
    <row r="50" spans="1:43" ht="11.5" customHeight="1" x14ac:dyDescent="0.35">
      <c r="A50" s="203" t="s">
        <v>45</v>
      </c>
      <c r="B50" s="203"/>
      <c r="C50" s="203"/>
      <c r="D50" s="203"/>
      <c r="E50" s="203"/>
      <c r="F50" s="203"/>
      <c r="G50" s="203"/>
      <c r="H50" s="203"/>
      <c r="I50" s="203"/>
      <c r="J50" s="203"/>
      <c r="K50" s="175"/>
      <c r="M50" s="146" t="s">
        <v>49</v>
      </c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204"/>
      <c r="AG50" s="205" t="s">
        <v>63</v>
      </c>
      <c r="AH50" s="205"/>
      <c r="AI50" s="205"/>
      <c r="AJ50" s="205"/>
      <c r="AK50" s="205"/>
      <c r="AL50" s="205"/>
      <c r="AM50" s="205"/>
      <c r="AN50" s="205"/>
      <c r="AO50" s="205"/>
      <c r="AP50" s="205"/>
      <c r="AQ50" s="206"/>
    </row>
    <row r="51" spans="1:43" ht="11.5" customHeight="1" x14ac:dyDescent="0.3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175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204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6"/>
    </row>
    <row r="52" spans="1:43" ht="11.5" customHeight="1" x14ac:dyDescent="0.35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204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9"/>
    </row>
    <row r="53" spans="1:43" ht="11.5" customHeight="1" x14ac:dyDescent="0.35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</row>
    <row r="54" spans="1:43" ht="11.5" customHeight="1" x14ac:dyDescent="0.35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</row>
    <row r="55" spans="1:43" ht="11.5" customHeight="1" x14ac:dyDescent="0.3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</row>
    <row r="56" spans="1:43" ht="11.5" customHeight="1" x14ac:dyDescent="0.35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</row>
    <row r="57" spans="1:43" ht="11.5" customHeight="1" x14ac:dyDescent="0.35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</row>
    <row r="58" spans="1:43" ht="11.5" customHeight="1" x14ac:dyDescent="0.35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</row>
    <row r="59" spans="1:43" ht="11.5" customHeight="1" x14ac:dyDescent="0.35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</row>
    <row r="60" spans="1:43" ht="11.5" customHeight="1" x14ac:dyDescent="0.35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</row>
    <row r="61" spans="1:43" ht="11.5" customHeight="1" x14ac:dyDescent="0.35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</row>
    <row r="62" spans="1:43" ht="11.5" customHeight="1" x14ac:dyDescent="0.35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</row>
    <row r="63" spans="1:43" ht="11.5" customHeight="1" x14ac:dyDescent="0.35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</row>
    <row r="64" spans="1:43" ht="11.5" customHeight="1" x14ac:dyDescent="0.35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</row>
    <row r="65" spans="1:43" ht="11.5" customHeight="1" x14ac:dyDescent="0.3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</row>
    <row r="66" spans="1:43" ht="11.5" customHeight="1" x14ac:dyDescent="0.35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</row>
    <row r="67" spans="1:43" ht="11.5" customHeight="1" x14ac:dyDescent="0.35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</row>
    <row r="68" spans="1:43" ht="11.5" customHeight="1" x14ac:dyDescent="0.35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</row>
    <row r="69" spans="1:43" ht="17" customHeight="1" x14ac:dyDescent="0.35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</row>
    <row r="70" spans="1:43" ht="7" customHeight="1" x14ac:dyDescent="0.35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</row>
    <row r="71" spans="1:43" ht="11.5" customHeight="1" x14ac:dyDescent="0.35">
      <c r="A71" s="210" t="s">
        <v>67</v>
      </c>
      <c r="B71" s="210"/>
      <c r="C71" s="210"/>
      <c r="D71" s="210"/>
      <c r="E71" s="210"/>
      <c r="F71" s="210"/>
      <c r="G71" s="210"/>
      <c r="H71" s="210"/>
      <c r="I71" s="210"/>
      <c r="J71" s="210"/>
      <c r="K71" s="152"/>
      <c r="M71" s="211" t="s">
        <v>72</v>
      </c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2" t="s">
        <v>76</v>
      </c>
      <c r="Y71" s="212"/>
      <c r="Z71" s="212"/>
      <c r="AA71" s="212"/>
      <c r="AB71" s="212"/>
      <c r="AC71" s="212"/>
      <c r="AD71" s="212"/>
      <c r="AE71" s="212"/>
      <c r="AG71" s="175"/>
      <c r="AH71" s="213"/>
      <c r="AI71" s="213"/>
      <c r="AJ71" s="213"/>
      <c r="AK71" s="213"/>
      <c r="AL71" s="213"/>
      <c r="AM71" s="213"/>
      <c r="AN71" s="213"/>
      <c r="AO71" s="213"/>
      <c r="AP71" s="213"/>
      <c r="AQ71" s="175"/>
    </row>
    <row r="72" spans="1:43" ht="11.5" customHeight="1" x14ac:dyDescent="0.3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152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2"/>
      <c r="Y72" s="212"/>
      <c r="Z72" s="212"/>
      <c r="AA72" s="212"/>
      <c r="AB72" s="212"/>
      <c r="AC72" s="212"/>
      <c r="AD72" s="212"/>
      <c r="AE72" s="212"/>
      <c r="AG72" s="175"/>
      <c r="AH72" s="213"/>
      <c r="AI72" s="213"/>
      <c r="AJ72" s="213"/>
      <c r="AK72" s="213"/>
      <c r="AL72" s="213"/>
      <c r="AM72" s="213"/>
      <c r="AN72" s="213"/>
      <c r="AO72" s="213"/>
      <c r="AP72" s="213"/>
      <c r="AQ72" s="175"/>
    </row>
    <row r="73" spans="1:43" ht="11.5" customHeight="1" x14ac:dyDescent="0.3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152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2"/>
      <c r="Y73" s="212"/>
      <c r="Z73" s="212"/>
      <c r="AA73" s="212"/>
      <c r="AB73" s="212"/>
      <c r="AC73" s="212"/>
      <c r="AD73" s="212"/>
      <c r="AE73" s="212"/>
      <c r="AG73" s="175"/>
      <c r="AH73" s="213"/>
      <c r="AI73" s="213"/>
      <c r="AJ73" s="213"/>
      <c r="AK73" s="213"/>
      <c r="AL73" s="213"/>
      <c r="AM73" s="213"/>
      <c r="AN73" s="213"/>
      <c r="AO73" s="213"/>
      <c r="AP73" s="213"/>
      <c r="AQ73" s="175"/>
    </row>
    <row r="74" spans="1:43" ht="11.5" customHeight="1" x14ac:dyDescent="0.35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152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6"/>
      <c r="Y74" s="216"/>
      <c r="Z74" s="216"/>
      <c r="AA74" s="216"/>
      <c r="AB74" s="216"/>
      <c r="AC74" s="216"/>
      <c r="AD74" s="216"/>
      <c r="AE74" s="216"/>
      <c r="AG74" s="175"/>
      <c r="AH74" s="217"/>
      <c r="AI74" s="217"/>
      <c r="AJ74" s="217"/>
      <c r="AK74" s="217"/>
      <c r="AL74" s="217"/>
      <c r="AM74" s="217"/>
      <c r="AN74" s="217"/>
      <c r="AO74" s="217"/>
      <c r="AP74" s="217"/>
      <c r="AQ74" s="175"/>
    </row>
    <row r="75" spans="1:43" ht="11.5" customHeight="1" x14ac:dyDescent="0.3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</row>
    <row r="76" spans="1:43" ht="11.5" customHeight="1" x14ac:dyDescent="0.3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</row>
    <row r="77" spans="1:43" ht="11.5" customHeight="1" x14ac:dyDescent="0.3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</row>
    <row r="78" spans="1:43" ht="11.5" customHeight="1" x14ac:dyDescent="0.3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</row>
    <row r="79" spans="1:43" ht="11.5" customHeight="1" x14ac:dyDescent="0.3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</row>
    <row r="80" spans="1:43" ht="11.5" customHeight="1" x14ac:dyDescent="0.3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</row>
    <row r="81" spans="1:43" ht="11.5" customHeight="1" x14ac:dyDescent="0.3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</row>
    <row r="82" spans="1:43" ht="11.5" customHeight="1" x14ac:dyDescent="0.3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</row>
    <row r="83" spans="1:43" ht="11.5" customHeight="1" x14ac:dyDescent="0.3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</row>
    <row r="84" spans="1:43" ht="11.5" customHeight="1" x14ac:dyDescent="0.3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</row>
    <row r="85" spans="1:43" ht="11.5" customHeight="1" x14ac:dyDescent="0.3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</row>
    <row r="86" spans="1:43" ht="11.5" customHeight="1" x14ac:dyDescent="0.3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</row>
    <row r="87" spans="1:43" ht="11.5" customHeight="1" x14ac:dyDescent="0.3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  <c r="AQ87" s="175"/>
    </row>
    <row r="88" spans="1:43" ht="11.5" customHeight="1" x14ac:dyDescent="0.3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G88" s="175"/>
      <c r="AH88" s="175"/>
      <c r="AI88" s="175"/>
      <c r="AJ88" s="175"/>
      <c r="AK88" s="175"/>
      <c r="AL88" s="175"/>
      <c r="AM88" s="175"/>
      <c r="AN88" s="175"/>
      <c r="AO88" s="175"/>
      <c r="AP88" s="175"/>
      <c r="AQ88" s="175"/>
    </row>
    <row r="89" spans="1:43" ht="11.5" customHeight="1" x14ac:dyDescent="0.3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</row>
    <row r="90" spans="1:43" ht="11.5" customHeight="1" x14ac:dyDescent="0.3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G90" s="175"/>
      <c r="AH90" s="175"/>
      <c r="AI90" s="175"/>
      <c r="AJ90" s="175"/>
      <c r="AK90" s="175"/>
      <c r="AL90" s="175"/>
      <c r="AM90" s="175"/>
      <c r="AN90" s="175"/>
      <c r="AO90" s="175"/>
      <c r="AP90" s="175"/>
      <c r="AQ90" s="175"/>
    </row>
    <row r="91" spans="1:43" ht="11.5" customHeight="1" x14ac:dyDescent="0.3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  <c r="AQ91" s="175"/>
    </row>
    <row r="92" spans="1:43" ht="11.5" customHeight="1" x14ac:dyDescent="0.3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  <c r="AQ92" s="175"/>
    </row>
    <row r="93" spans="1:43" ht="11.5" customHeight="1" x14ac:dyDescent="0.3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  <c r="AQ93" s="175"/>
    </row>
    <row r="94" spans="1:43" ht="11.5" customHeight="1" x14ac:dyDescent="0.3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</row>
  </sheetData>
  <mergeCells count="24">
    <mergeCell ref="A71:J74"/>
    <mergeCell ref="M71:W74"/>
    <mergeCell ref="X71:AE74"/>
    <mergeCell ref="AH71:AP74"/>
    <mergeCell ref="A50:J51"/>
    <mergeCell ref="M50:AD52"/>
    <mergeCell ref="AE50:AE52"/>
    <mergeCell ref="AG50:AP52"/>
    <mergeCell ref="A70:K70"/>
    <mergeCell ref="M70:AE70"/>
    <mergeCell ref="AG70:AQ70"/>
    <mergeCell ref="A26:J28"/>
    <mergeCell ref="K26:K28"/>
    <mergeCell ref="M26:AD28"/>
    <mergeCell ref="AE26:AE28"/>
    <mergeCell ref="AG26:AQ28"/>
    <mergeCell ref="M49:AE49"/>
    <mergeCell ref="AG49:AQ49"/>
    <mergeCell ref="A1:A3"/>
    <mergeCell ref="B1:S3"/>
    <mergeCell ref="T1:T5"/>
    <mergeCell ref="U1:AD3"/>
    <mergeCell ref="AH1:AP5"/>
    <mergeCell ref="B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IPTT</vt:lpstr>
      <vt:lpstr>Q1 Output Dash_Board</vt:lpstr>
      <vt:lpstr>Finance Q1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Akpan</dc:creator>
  <cp:lastModifiedBy>Emmanuel Akpan</cp:lastModifiedBy>
  <dcterms:created xsi:type="dcterms:W3CDTF">2026-10-07T10:12:45Z</dcterms:created>
  <dcterms:modified xsi:type="dcterms:W3CDTF">2026-10-07T10:17:40Z</dcterms:modified>
</cp:coreProperties>
</file>